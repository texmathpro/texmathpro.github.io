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9" i="1"/>
  <c r="G10" i="2"/>
  <c r="D40" i="1"/>
  <c r="D43" i="1"/>
  <c r="P42" i="1" a="1"/>
  <c r="P42" i="1"/>
  <c r="O42" i="1" a="1"/>
  <c r="O42" i="1"/>
  <c r="N42" i="1" a="1"/>
  <c r="N42" i="1"/>
  <c r="M42" i="1" a="1"/>
  <c r="M42" i="1"/>
  <c r="D42" i="1"/>
  <c r="M40" i="1" a="1"/>
  <c r="M40" i="1"/>
  <c r="O40" i="1" a="1"/>
  <c r="O40" i="1"/>
  <c r="P40" i="1" a="1"/>
  <c r="P40" i="1"/>
  <c r="M34" i="1" a="1"/>
  <c r="M34" i="1"/>
  <c r="O34" i="1" a="1"/>
  <c r="O34" i="1"/>
  <c r="P34" i="1" a="1"/>
  <c r="P34" i="1"/>
  <c r="D34" i="1"/>
  <c r="P39" i="1" a="1"/>
  <c r="P39" i="1"/>
  <c r="O39" i="1" a="1"/>
  <c r="O39" i="1"/>
  <c r="N39" i="1" a="1"/>
  <c r="N39" i="1"/>
  <c r="M39" i="1" a="1"/>
  <c r="M39" i="1"/>
  <c r="D39" i="1"/>
  <c r="P33" i="1" a="1"/>
  <c r="P33" i="1"/>
  <c r="O33" i="1" a="1"/>
  <c r="O33" i="1"/>
  <c r="N33" i="1" a="1"/>
  <c r="N33" i="1"/>
  <c r="M33" i="1" a="1"/>
  <c r="M33" i="1"/>
  <c r="D33" i="1"/>
  <c r="P31" i="1" a="1"/>
  <c r="P31" i="1"/>
  <c r="M31" i="1" a="1"/>
  <c r="M31" i="1"/>
  <c r="O31" i="1" a="1"/>
  <c r="O31" i="1"/>
  <c r="D31" i="1"/>
  <c r="F17" i="2"/>
  <c r="E17" i="2"/>
  <c r="P30" i="1" a="1"/>
  <c r="P30" i="1"/>
  <c r="O30" i="1" a="1"/>
  <c r="O30" i="1"/>
  <c r="N30" i="1" a="1"/>
  <c r="N30" i="1"/>
  <c r="M30" i="1" a="1"/>
  <c r="M30" i="1"/>
  <c r="D30" i="1"/>
  <c r="M43" i="1" a="1"/>
  <c r="M43" i="1"/>
  <c r="O43" i="1" a="1"/>
  <c r="O43" i="1"/>
  <c r="P43" i="1" a="1"/>
  <c r="P43" i="1"/>
  <c r="P41" i="1" a="1"/>
  <c r="P41" i="1"/>
  <c r="O41" i="1" a="1"/>
  <c r="O41" i="1"/>
  <c r="N41" i="1" a="1"/>
  <c r="N41" i="1"/>
  <c r="M41" i="1" a="1"/>
  <c r="M41" i="1"/>
  <c r="D41" i="1"/>
  <c r="P38" i="1" a="1"/>
  <c r="P38" i="1"/>
  <c r="O38" i="1" a="1"/>
  <c r="O38" i="1"/>
  <c r="N38" i="1" a="1"/>
  <c r="N38" i="1"/>
  <c r="M38" i="1" a="1"/>
  <c r="M38" i="1"/>
  <c r="D38" i="1"/>
  <c r="P29" i="1" a="1"/>
  <c r="P29" i="1"/>
  <c r="O29" i="1" a="1"/>
  <c r="O29" i="1"/>
  <c r="N29" i="1" a="1"/>
  <c r="N29" i="1"/>
  <c r="M29" i="1" a="1"/>
  <c r="M29" i="1"/>
  <c r="P32" i="1" a="1"/>
  <c r="P32" i="1"/>
  <c r="O32" i="1" a="1"/>
  <c r="O32" i="1"/>
  <c r="N32" i="1" a="1"/>
  <c r="N32" i="1"/>
  <c r="M32" i="1" a="1"/>
  <c r="M32" i="1"/>
  <c r="D32" i="1"/>
  <c r="D17" i="2"/>
  <c r="M61" i="1" a="1"/>
  <c r="M61" i="1"/>
  <c r="D61" i="1"/>
  <c r="P61" i="1" a="1"/>
  <c r="P61" i="1"/>
  <c r="O61" i="1" a="1"/>
  <c r="O61" i="1"/>
  <c r="N61" i="1" a="1"/>
  <c r="N61" i="1"/>
  <c r="M59" i="1" a="1"/>
  <c r="M59" i="1"/>
  <c r="D59" i="1"/>
  <c r="P59" i="1" a="1"/>
  <c r="P59" i="1"/>
  <c r="O59" i="1" a="1"/>
  <c r="O59" i="1"/>
  <c r="N59" i="1" a="1"/>
  <c r="N59" i="1"/>
  <c r="N40" i="1" a="1"/>
  <c r="N40" i="1"/>
  <c r="N43" i="1" a="1"/>
  <c r="N43" i="1"/>
  <c r="N31" i="1" a="1"/>
  <c r="N31" i="1"/>
  <c r="D35" i="1"/>
  <c r="D36" i="1"/>
  <c r="D37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60" i="1"/>
  <c r="D62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N34" i="1" a="1"/>
  <c r="N34" i="1"/>
  <c r="D6" i="2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<sst xmlns="http://schemas.openxmlformats.org/spreadsheetml/2006/main" count="377" uniqueCount="280">
  <si>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</si>
  <si>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</si>
  <si>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</si>
  <si>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</si>
  <si>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</si>
  <si>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</si>
  <si>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</si>
  <si>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</si>
  <si>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</si>
  <si>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</si>
  <si>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</si>
  <si>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</si>
  <si>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</si>
  <si>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</si>
  <si>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</si>
  <si>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</si>
  <si>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</si>
  <si>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</si>
  <si>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</si>
  <si>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</si>
  <si>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</si>
  <si>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</si>
  <si>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</si>
  <si>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</si>
  <si>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</si>
  <si>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</si>
  <si>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</si>
  <si>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</si>
  <si>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</si>
  <si>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</si>
  <si>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</si>
  <si>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</si>
  <si>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</si>
  <si>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</si>
  <si>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</si>
  <si>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</si>
  <si>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</si>
  <si>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Grade 10 T3 First Summative Test + TOS + Answer Key (Premium)</t>
  </si>
  <si>
    <t>Grade 7 T3 Periodic Test + TOS + Answer Key (Basic)</t>
  </si>
  <si>
    <t>https://i.imgur.com/TYIT3or.jpeg</t>
  </si>
  <si>
    <t>Grade 7 T3 Periodic Test + TOS + Answer Key (Standard)</t>
  </si>
  <si>
    <t>Grade 7 T3 Periodic Test + TOS + Answer Key (Premium)</t>
  </si>
  <si>
    <t>Grade 8 T3 Periodic Test + TOS + Answer Key (Basic)</t>
  </si>
  <si>
    <t>https://i.imgur.com/CTCvbDz.jpeg</t>
  </si>
  <si>
    <t>Grade 8 T3 Periodic Test + TOS + Answer Key (Standard)</t>
  </si>
  <si>
    <t>Grade 8 T3 Periodic Test + TOS + Answer Key (Premium)</t>
  </si>
  <si>
    <t>Grade 9 T3 Periodic Test + TOS + Answer Key (Basic)</t>
  </si>
  <si>
    <t>https://i.imgur.com/c0IwjHZ.jpeg</t>
  </si>
  <si>
    <t>Grade 9 T3 Periodic Test + TOS + Answer Key (Standard)</t>
  </si>
  <si>
    <t>Grade 9 T3 Periodic Test + TOS + Answer Key (Premium)</t>
  </si>
  <si>
    <t>Grade 10 T3 Periodic Test + TOS + Answer Key (Basic)</t>
  </si>
  <si>
    <t>https://i.imgur.com/PsPVTBV.jpeg</t>
  </si>
  <si>
    <t>Grade 10 T3 Periodic Test + TOS + Answer Key (Standard)</t>
  </si>
  <si>
    <t>Grade 10 T3 Periodic Test + TOS + Answer Key (Premium)</t>
  </si>
  <si>
    <t>G7-T1-S1-BP</t>
  </si>
  <si>
    <t>G7-T1-S1-SP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</si>
  <si>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</si>
  <si>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</si>
  <si>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</si>
  <si>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</si>
  <si>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</si>
  <si>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Grade 8 T1 First Summative Test + TOS + Answer Key (Premium)</t>
  </si>
  <si>
    <t>G9-T1-S1-BP</t>
  </si>
  <si>
    <t>G9-T1-S1-SP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</si>
  <si>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</si>
  <si>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</si>
  <si>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</si>
  <si>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</si>
  <si>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</si>
  <si>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Grade 10 T1 First Summative Test + TOS + Answer Key (Premium)</t>
  </si>
  <si>
    <t>Grade 7 T1 Periodic Test + TOS + Answer Key (Basic)</t>
  </si>
  <si>
    <t>https://res.cloudinary.com/dadubemrv/image/upload/v1771580533/lfmu3tsjv8rrj4tcyhfj.jpg</t>
  </si>
  <si>
    <t>Grade 7 T1 Periodic Test + TOS + Answer Key (Standard)</t>
  </si>
  <si>
    <t>Grade 7 T1 Periodic Test + TOS + Answer Key (Premium)</t>
  </si>
  <si>
    <t>Grade 8 T1 Periodic Test + TOS + Answer Key (Basic)</t>
  </si>
  <si>
    <t>https://i.imgur.com/Eciazvr.jpeg</t>
  </si>
  <si>
    <t>Grade 8 T1 Periodic Test + TOS + Answer Key (Standard)</t>
  </si>
  <si>
    <t>Grade 8 T1 Periodic Test + TOS + Answer Key (Premium)</t>
  </si>
  <si>
    <t>Grade 9 T1 Periodic Test + TOS + Answer Key (Basic)</t>
  </si>
  <si>
    <t>https://res.cloudinary.com/dadubemrv/image/upload/v1771580879/sz2yqh5rmfyci6hwivcc.jpg</t>
  </si>
  <si>
    <t>Grade 9 T1 Periodic Test + TOS + Answer Key (Standard)</t>
  </si>
  <si>
    <t>Grade 9 T1 Periodic Test + TOS + Answer Key (Premium)</t>
  </si>
  <si>
    <t>Grade 10 T1 Periodic Test + TOS + Answer Key (Basic)</t>
  </si>
  <si>
    <t>https://res.cloudinary.com/dadubemrv/image/upload/v1771581176/bpjq83f63jehupa4mqs7.jpg</t>
  </si>
  <si>
    <t>Grade 10 T1 Periodic Test + TOS + Answer Key (Standard)</t>
  </si>
  <si>
    <t>Grade 10 T1 Periodic Test + TOS + Answer Key (Premium)</t>
  </si>
  <si>
    <t>G7-T1-MQ</t>
  </si>
  <si>
    <t>Grade 7 T1 Multiple-Choice Quizzes + Answer Keys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</si>
  <si>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</si>
  <si>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</si>
  <si>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</si>
  <si>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</si>
  <si>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</si>
  <si>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</si>
  <si>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</si>
  <si>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</si>
  <si>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</si>
  <si>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</si>
  <si>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</si>
  <si>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</si>
  <si>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</si>
  <si>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</si>
  <si>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</si>
  <si>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</si>
  <si>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</si>
  <si>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</si>
  <si>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</si>
  <si>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</si>
  <si>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</si>
  <si>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</si>
  <si>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</si>
  <si>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</si>
  <si>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</si>
  <si>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</si>
  <si>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</si>
  <si>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</si>
  <si>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</si>
  <si>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</si>
  <si>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</si>
  <si>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Grade 8 T2 Periodic Test + TOS + Answer Key (Basic)</t>
  </si>
  <si>
    <t>https://i.imgur.com/8n2VCOb.jpeg</t>
  </si>
  <si>
    <t>Grade 8 T2 Periodic Test + TOS + Answer Key (Standard)</t>
  </si>
  <si>
    <t>Grade 8 T2 Periodic Test + TOS + Answer Key (Premium)</t>
  </si>
  <si>
    <t>Grade 9 T2 Periodic Test + TOS + Answer Key (Basic)</t>
  </si>
  <si>
    <t>https://i.imgur.com/sVIQDun.jpeg</t>
  </si>
  <si>
    <t>Grade 9 T2 Periodic Test + TOS + Answer Key (Standard)</t>
  </si>
  <si>
    <t>Grade 9 T2 Periodic Test + TOS + Answer Key (Premium)</t>
  </si>
  <si>
    <t>Grade 10 T2 Periodic Test + TOS + Answer Key (Basic)</t>
  </si>
  <si>
    <t>https://i.imgur.com/T2J0K9c.jpeg</t>
  </si>
  <si>
    <t>Grade 10 T2 Periodic Test + TOS + Answer Key (Standard)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</si>
  <si>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</si>
  <si>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</si>
  <si>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</si>
  <si>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</si>
  <si>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</si>
  <si>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</si>
  <si>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</si>
  <si>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</si>
  <si>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</si>
  <si>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</si>
  <si>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</si>
  <si>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</si>
  <si>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</si>
  <si>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</si>
  <si>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</si>
  <si>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</si>
  <si>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</si>
  <si>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</si>
  <si>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</si>
  <si>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</si>
  <si>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</si>
  <si>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</si>
  <si>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</si>
  <si>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</si>
  <si>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</si>
  <si>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</si>
  <si>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</si>
  <si>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</si>
  <si>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</si>
  <si>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</si>
  <si>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</si>
  <si>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</si>
  <si>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</si>
  <si>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</si>
  <si>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</si>
  <si>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</si>
  <si>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</si>
  <si>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</si>
  <si>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</si>
  <si>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</si>
  <si>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</si>
  <si>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</si>
  <si>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</si>
  <si>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https://res.cloudinary.com/dadubemrv/image/upload/v1783262649/xa3ma5xtgdbpiti2pulm.png, 
https://res.cloudinary.com/dadubemrv/image/upload/v1783262653/xelrwfv3qo9fte8tcav5.png, 
https://res.cloudinary.com/dadubemrv/image/upload/v1783262656/erime3c8h1ngvdbdrwdu.png, 
https://res.cloudinary.com/dadubemrv/image/upload/v1783262658/s6wrnagjw7rwy2jvrk9h.png</t>
  </si>
  <si>
    <t>https://res.cloudinary.com/dadubemrv/image/upload/v1783263602/yd7hsdwqb5dk19s6pakw.png,https://res.cloudinary.com/dadubemrv/image/upload/v1783263605/ujoydnhzuhsnv7yic56j.png,https://res.cloudinary.com/dadubemrv/image/upload/v1783263608/d8tvcndvdvbcscplmsni.png,https://res.cloudinary.com/dadubemrv/image/upload/v1783263611/xnrnsjt720lvbgoycchm.png</t>
  </si>
  <si>
    <t>https://res.cloudinary.com/dadubemrv/image/upload/v1784259489/jon7ha1w9jssifhlph7u.png,https://res.cloudinary.com/dadubemrv/image/upload/v1784259493/l9iore0gcpvw7hcecvvt.png,https://res.cloudinary.com/dadubemrv/image/upload/v1784259496/fyqiathetzwuch9vy3t7.png</t>
  </si>
  <si>
    <t>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</t>
  </si>
  <si>
    <t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</t>
  </si>
  <si>
    <t>G7-T1-S2-BP</t>
  </si>
  <si>
    <t>https://res.cloudinary.com/dadubemrv/image/upload/v1784692768/blzn2f4qf4csagllrdmj.png,https://res.cloudinary.com/dadubemrv/image/upload/v1784692772/mlwmihwoocbpcd5of6rx.png,https://res.cloudinary.com/dadubemrv/image/upload/v1784692776/adpmufdqkz5qxw5yzj0p.png</t>
  </si>
  <si>
    <t xml:space="preserve">Coverage </t>
  </si>
  <si>
    <t>S1</t>
  </si>
  <si>
    <t>Code</t>
  </si>
  <si>
    <t>Product type</t>
  </si>
  <si>
    <t>S2</t>
  </si>
  <si>
    <t>MQ</t>
  </si>
  <si>
    <t>First Summative test</t>
  </si>
  <si>
    <t>Multiple-choice Quizzes</t>
  </si>
  <si>
    <t>Second Summative test</t>
  </si>
  <si>
    <t>G7-T3-TE-BP</t>
  </si>
  <si>
    <t>G7-T3-TE-SP</t>
  </si>
  <si>
    <t>G8-T3-TE-BP</t>
  </si>
  <si>
    <t>G8-T3-TE-SP</t>
  </si>
  <si>
    <t>G9-T3-TE-BP</t>
  </si>
  <si>
    <t>G9-T3-TE-SP</t>
  </si>
  <si>
    <t>G10-T3-TE-BP</t>
  </si>
  <si>
    <t>G10-T3-TE-SP</t>
  </si>
  <si>
    <t>G7-T1-TE-BP</t>
  </si>
  <si>
    <t>G7-T1-TE-SP</t>
  </si>
  <si>
    <t>G8-T1-TE-BP</t>
  </si>
  <si>
    <t>G8-T1-TE-SP</t>
  </si>
  <si>
    <t>G9-T1-TE-BP</t>
  </si>
  <si>
    <t>G9-T1-TE-SP</t>
  </si>
  <si>
    <t>G10-T1-TE-BP</t>
  </si>
  <si>
    <t>G10-T1-TE-SP</t>
  </si>
  <si>
    <t>G8-T2-TE-BP</t>
  </si>
  <si>
    <t>G8-T2-TE-SP</t>
  </si>
  <si>
    <t>G9-T2-TE-BP</t>
  </si>
  <si>
    <t>G9-T2-TE-SP</t>
  </si>
  <si>
    <t>G10-T2-TE-BP</t>
  </si>
  <si>
    <t>G10-T2-TE-SP</t>
  </si>
  <si>
    <t>TE</t>
  </si>
  <si>
    <t>Term Exam</t>
  </si>
  <si>
    <t>Term</t>
  </si>
  <si>
    <t>T1</t>
  </si>
  <si>
    <t>T2</t>
  </si>
  <si>
    <t>T3</t>
  </si>
  <si>
    <t>First Term</t>
  </si>
  <si>
    <t>Second Term</t>
  </si>
  <si>
    <t>Third Term</t>
  </si>
  <si>
    <t>Grade level</t>
  </si>
  <si>
    <t>G7</t>
  </si>
  <si>
    <t>G8</t>
  </si>
  <si>
    <t>G9</t>
  </si>
  <si>
    <t>G10</t>
  </si>
  <si>
    <t>Package type</t>
  </si>
  <si>
    <t>BP</t>
  </si>
  <si>
    <t>SP</t>
  </si>
  <si>
    <t>Basic Assessment Package</t>
  </si>
  <si>
    <t>Standard Assessment Package</t>
  </si>
  <si>
    <t>Days</t>
  </si>
  <si>
    <t>Items</t>
  </si>
  <si>
    <t>G9-T1-S2-BP</t>
  </si>
  <si>
    <t>https://res.cloudinary.com/dadubemrv/image/upload/v1784731784/ptqhzxe6hdaphiivprrc.png,https://res.cloudinary.com/dadubemrv/image/upload/v1784731787/jc6dwnedukuiwimgdgxv.png,https://res.cloudinary.com/dadubemrv/image/upload/v1784731789/aidqozqvzsxtxmtppi1c.png</t>
  </si>
  <si>
    <t xml:space="preserve">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</t>
  </si>
  <si>
    <t xml:space="preserve">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</t>
  </si>
  <si>
    <t xml:space="preserve">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</t>
  </si>
  <si>
    <t xml:space="preserve">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</t>
  </si>
  <si>
    <t>Pieces</t>
  </si>
  <si>
    <t>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</t>
  </si>
  <si>
    <t>---
📑 **Topics Covered**
**Quiz 1.01.1: Basic Undefined Terms and Geometric Notation** (35 items)
  - Lesson 1. 1.01.1: Basic Undefined Terms and Geometric Notation
  - Lesson 1. 1.01.2: Constructing Parallel and Perpendicular Lines
**Quiz 1.02.1: Angles Formed by Parallel Lines and a Transversal** (30 items)
  - Lesson 1. 1.02.1: Angles Formed by Parallel Lines and a Transversal
  - Lesson 1. 1.02.2: Solving Angle Measures with Parallel and Perpendicular Lines
**Quiz 1.03.1: Introduction to Relations and Functions** (30 items)
  - Lesson 1. 1.03.1: Introduction to Relations and Functions
  - Lesson 1. 1.03.2: Domain of a Function
  - Lesson 1. 1.03.3: Range of a Function
**Quiz 1.04.1: Representing Relationships as Functions** (30 items)
  - Lesson 1. 1.04.1: Representing Relationships as Functions
  - Lesson 1. 1.04.2: Slope of Linear Functions from Graphs
  - Lesson 1. 1.04.3: Zeros of Linear Functions from Graphs
  - Lesson 1. 1.04.4: Slope of Linear Functions from Equations
  - Lesson 1. 1.04.5: Zeros of Linear Functions from Equations
  - Lesson 1. 1.04.6: Slope of Linear Functions from Tables
  - Lesson 1. 1.04.7: Zeros of Linear Functions from Tables
**Quiz 1.05.1: Graphing Linear Functions: Domain and Range** (35 items)
  - Lesson 1. 1.05.1: Graphing Linear Functions: Domain and Range
  - Lesson 1. 1.05.2: Graphing Linear Function - Intercepts and Slope
  - Lesson 1. 1.05.3: Representing Real-Life Linear Relationships
**Quiz 1.06.1: Solving Problems Involving Linear Functions** (30 items)
  - Lesson 1. 1.06.1: Solving Problems Involving Linear Functions
  - Lesson 1. 1.06.2: Conditions that Guarantee Parallelism
  - Lesson 1. 1.06.3: Conditions that Guarantee Perpendicularity
**Quiz 1.07.1: Classifying Quadrilaterals** (35 items)
  - Lesson 1. 1.07.1: Classifying Quadrilaterals
  - Lesson 1. 1.07.2: Properties of Parallelograms
**Quiz 1.08.1: Finding Lengths in Parallelograms** (30 items)
  - Lesson 1. 1.08.1: Finding Side Lengths in Parallelograms
  - Lesson 1. 1.08.2: Finding Angle Measures in Parallelograms
  - Lesson 1. 1.08.3: Finding Perpendicular Heights in Parallelograms
  - Lesson 1. 1.08.4: Finding Diagonal Measures in Parallelograms
**Quiz 1.09.1: Problem Solving with Parallelograms** (30 items)
  - Lesson 1. 1.09.1: Problem Solving with Parallelograms and Rectangles
  - Lesson 1. 1.09.2: Problem Solving with Squares and Rhombuses
**Quiz 1.10.1: Proving Properties of Parallelograms** (25 items)
  - Lesson 1. 1.10.1: Proving Properties of Parallelograms</t>
  </si>
  <si>
    <t>https://res.cloudinary.com/dadubemrv/image/upload/v1784868820/ozzzxppeyyvj0s2tjymk.png,https://res.cloudinary.com/dadubemrv/image/upload/v1784868830/kgezh16t4knvga2qdead.png,https://res.cloudinary.com/dadubemrv/image/upload/v1784868834/juzddujgsxbdnu454ck5.png</t>
  </si>
  <si>
    <t>Grade 7 T1 First Summative Test + Answer Key (Basic)</t>
  </si>
  <si>
    <t>Grade 7 T1 Second Summative Test + Answer Key (Basic)</t>
  </si>
  <si>
    <t>Grade 9 T1 First Summative Test + Answer Key (Basic)</t>
  </si>
  <si>
    <t>Grade 9 T1 Second Summative Test + Answer Key (Basic)</t>
  </si>
  <si>
    <t>G7-T1-S2-SP</t>
  </si>
  <si>
    <t>Grade 7 T1 Second Summative Test + Answer Key + TOS (Standard)</t>
  </si>
  <si>
    <t>Grade 7 T1 First Summative Test + Answer Key + TOS (Standard)</t>
  </si>
  <si>
    <t>Grade 9 T1 First Summative Test + Answer Key + TOS (Standard)</t>
  </si>
  <si>
    <t>G9-T1-S2-SP</t>
  </si>
  <si>
    <t>Grade 9 T1 Second Summative Test + Answer Key + TOS (Standard)</t>
  </si>
  <si>
    <t>G7-T1-S1-CP</t>
  </si>
  <si>
    <t>G8-T1-S1-CP</t>
  </si>
  <si>
    <t>G9-T1-S1-CP</t>
  </si>
  <si>
    <t>G10-T1-S1-CP</t>
  </si>
  <si>
    <t>G7-T1-TE-CP</t>
  </si>
  <si>
    <t>G8-T1-TE-CP</t>
  </si>
  <si>
    <t>G9-T1-TE-CP</t>
  </si>
  <si>
    <t>G10-T1-TE-CP</t>
  </si>
  <si>
    <t>G8-T2-TE-CP</t>
  </si>
  <si>
    <t>G9-T2-TE-CP</t>
  </si>
  <si>
    <t>G10-T2-TE-CP</t>
  </si>
  <si>
    <t>G7-T3-S1-CP</t>
  </si>
  <si>
    <t>G8-T3-S1-CP</t>
  </si>
  <si>
    <t>G9-T3-S1-CP</t>
  </si>
  <si>
    <t>G10-T3-S1-CP</t>
  </si>
  <si>
    <t>G7-T3-TE-CP</t>
  </si>
  <si>
    <t>G8-T3-TE-CP</t>
  </si>
  <si>
    <t>G9-T3-TE-CP</t>
  </si>
  <si>
    <t>G10-T3-TE-CP</t>
  </si>
  <si>
    <t>Grade 7 T1 First Summative Test + Answer Key + TOS (Custom)</t>
  </si>
  <si>
    <t>CP</t>
  </si>
  <si>
    <t>Custom Assessment Package</t>
  </si>
  <si>
    <t>25-50</t>
  </si>
  <si>
    <t>G7-T1-S2-CP</t>
  </si>
  <si>
    <t>Grade 7 T1 Second Summative Test + Answer Key + TOS (Custom)</t>
  </si>
  <si>
    <t>Grade 9 T1 First Summative Test + Answer Key + TOS (Custom)</t>
  </si>
  <si>
    <t>G9-T1-S2-CP</t>
  </si>
  <si>
    <t>Grade 9 T1 Second Summative Test + Answer Key + TOS (Custom)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</si>
</sst>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9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  <xf numFmtId="0" fontId="4" fillId="0" borderId="0" xfId="0" applyFont="1" applyAlignment="1">
      <alignment wrapText="1"/>
    </xf>
    <xf numFmtId="0" fontId="9" fillId="0" borderId="0" xfId="1" applyFill="1" applyAlignment="1">
      <alignment wrapText="1"/>
    </xf>
    <xf numFmtId="0" fontId="1" fillId="0" borderId="0" xfId="0" quotePrefix="1" applyFont="1" applyAlignment="1">
      <alignment wrapText="1"/>
    </xf>
    <xf numFmtId="0" fontId="9" fillId="0" borderId="0" xfId="1" applyAlignment="1"/>
    <xf numFmtId="0" fontId="9" fillId="0" borderId="0" xfId="1" applyAlignment="1">
      <alignment wrapText="1"/>
    </xf>
    <xf numFmtId="0" fontId="0" fillId="0" borderId="0" xfId="0" applyFont="1" applyAlignment="1">
      <alignment wrapText="1"/>
    </xf>
    <xf numFmtId="0" fontId="9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1341/mt0reu4d16nbbglfigzi.jpg" TargetMode="External" /><Relationship Id="rId39" Type="http://schemas.openxmlformats.org/officeDocument/2006/relationships/hyperlink" Target="https://res.cloudinary.com/dadubemrv/image/upload/v1771463118/oreyawsxzur1rlvsgtxv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0879/sz2yqh5rmfyci6hwivcc.jpg" TargetMode="External" /><Relationship Id="rId42" Type="http://schemas.openxmlformats.org/officeDocument/2006/relationships/hyperlink" Target="https://i.imgur.com/44eqx0V.jpeg" TargetMode="External" /><Relationship Id="rId47" Type="http://schemas.openxmlformats.org/officeDocument/2006/relationships/hyperlink" Target="https://i.imgur.com/PRWYDB8.jpeg" TargetMode="External" /><Relationship Id="rId50" Type="http://schemas.openxmlformats.org/officeDocument/2006/relationships/hyperlink" Target="https://i.imgur.com/P1inplO.jpeg" TargetMode="External" /><Relationship Id="rId55" Type="http://schemas.openxmlformats.org/officeDocument/2006/relationships/hyperlink" Target="https://i.imgur.com/uDMIvrF.jpeg" TargetMode="External" /><Relationship Id="rId63" Type="http://schemas.openxmlformats.org/officeDocument/2006/relationships/hyperlink" Target="https://i.imgur.com/q2J0K9c.jpeg" TargetMode="External" /><Relationship Id="rId68" Type="http://schemas.openxmlformats.org/officeDocument/2006/relationships/hyperlink" Target="https://res.cloudinary.com/dadubemrv/image/upload/v1784868820/ozzzxppeyyvj0s2tjymk.png,https:/res.cloudinary.com/dadubemrv/image/upload/v1784868830/kgezh16t4knvga2qdead.png,https:/res.cloudinary.com/dadubemrv/image/upload/v1784868834/juzddujgsxbdnu454ck5.png" TargetMode="External" /><Relationship Id="rId7" Type="http://schemas.openxmlformats.org/officeDocument/2006/relationships/hyperlink" Target="https://i.imgur.com/taq0wC7.jpeg" TargetMode="External" /><Relationship Id="rId71" Type="http://schemas.openxmlformats.org/officeDocument/2006/relationships/hyperlink" Target="https://res.cloudinary.com/dadubemrv/image/upload/v1784731784/ptqhzxe6hdaphiivprrc.png,https:/res.cloudinary.com/dadubemrv/image/upload/v1784731787/jc6dwnedukuiwimgdgxv.png,https:/res.cloudinary.com/dadubemrv/image/upload/v1784731789/aidqozqvzsxtxmtppi1c.pn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0533/lfmu3tsjv8rrj4tcyhfj.jp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0879/sz2yqh5rmfyci6hwivcc.jpg" TargetMode="External" /><Relationship Id="rId37" Type="http://schemas.openxmlformats.org/officeDocument/2006/relationships/hyperlink" Target="https://res.cloudinary.com/dadubemrv/image/upload/v1771581176/bpjq83f63jehupa4mqs7.jpg" TargetMode="External" /><Relationship Id="rId40" Type="http://schemas.openxmlformats.org/officeDocument/2006/relationships/hyperlink" Target="https://res.cloudinary.com/dadubemrv/image/upload/v1771462496/coog2txapkkedhuakqjx.jpg" TargetMode="External" /><Relationship Id="rId45" Type="http://schemas.openxmlformats.org/officeDocument/2006/relationships/hyperlink" Target="https://i.imgur.com/KDUYUX7.jpeg" TargetMode="External" /><Relationship Id="rId53" Type="http://schemas.openxmlformats.org/officeDocument/2006/relationships/hyperlink" Target="https://i.imgur.com/uDMIvrF.jpeg" TargetMode="External" /><Relationship Id="rId58" Type="http://schemas.openxmlformats.org/officeDocument/2006/relationships/hyperlink" Target="https://i.imgur.com/8n2VCOb.jpeg" TargetMode="External" /><Relationship Id="rId66" Type="http://schemas.openxmlformats.org/officeDocument/2006/relationships/hyperlink" Target="https://res.cloudinary.com/dadubemrv/image/upload/v1783263602/yd7hsdwqb5dk19s6pakw.png,https:/res.cloudinary.com/dadubemrv/image/upload/v1783263605/ujoydnhzuhsnv7yic56j.png,https:/res.cloudinary.com/dadubemrv/image/upload/v1783263608/d8tvcndvdvbcscplmsni.png,https:/res.cloudinary.com/dadubemrv/image/upload/v1783263611/xnrnsjt720lvbgoycchm.png" TargetMode="External" /><Relationship Id="rId74" Type="http://schemas.openxmlformats.org/officeDocument/2006/relationships/hyperlink" Target="https://res.cloudinary.com/dadubemrv/image/upload/v1784731784/ptqhzxe6hdaphiivprrc.png,https:/res.cloudinary.com/dadubemrv/image/upload/v1784731787/jc6dwnedukuiwimgdgxv.png,https:/res.cloudinary.com/dadubemrv/image/upload/v1784731789/aidqozqvzsxtxmtppi1c.pn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1341/mt0reu4d16nbbglfigzi.jpg" TargetMode="External" /><Relationship Id="rId36" Type="http://schemas.openxmlformats.org/officeDocument/2006/relationships/hyperlink" Target="https://res.cloudinary.com/dadubemrv/image/upload/v1771581176/bpjq83f63jehupa4mqs7.jpg" TargetMode="External" /><Relationship Id="rId49" Type="http://schemas.openxmlformats.org/officeDocument/2006/relationships/hyperlink" Target="https://i.imgur.com/PRWYDB8.jpeg" TargetMode="External" /><Relationship Id="rId57" Type="http://schemas.openxmlformats.org/officeDocument/2006/relationships/hyperlink" Target="https://i.imgur.com/8n2VCOb.jpeg" TargetMode="External" /><Relationship Id="rId61" Type="http://schemas.openxmlformats.org/officeDocument/2006/relationships/hyperlink" Target="https://i.imgur.com/sVIQDun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0533/lfmu3tsjv8rrj4tcyhfj.jpg" TargetMode="External" /><Relationship Id="rId44" Type="http://schemas.openxmlformats.org/officeDocument/2006/relationships/hyperlink" Target="https://i.imgur.com/KDUYUX7.jpeg" TargetMode="External" /><Relationship Id="rId52" Type="http://schemas.openxmlformats.org/officeDocument/2006/relationships/hyperlink" Target="https://i.imgur.com/P1inplO.jpeg" TargetMode="External" /><Relationship Id="rId60" Type="http://schemas.openxmlformats.org/officeDocument/2006/relationships/hyperlink" Target="https://i.imgur.com/sVIQDun.jpeg" TargetMode="External" /><Relationship Id="rId65" Type="http://schemas.openxmlformats.org/officeDocument/2006/relationships/hyperlink" Target="https://res.cloudinary.com/dadubemrv/image/upload/v1784692768/blzn2f4qf4csagllrdmj.png,https:/res.cloudinary.com/dadubemrv/image/upload/v1784692772/mlwmihwoocbpcd5of6rx.png,https:/res.cloudinary.com/dadubemrv/image/upload/v1784692776/adpmufdqkz5qxw5yzj0p.png" TargetMode="External" /><Relationship Id="rId73" Type="http://schemas.openxmlformats.org/officeDocument/2006/relationships/hyperlink" Target="https://res.cloudinary.com/dadubemrv/image/upload/v1783263602/yd7hsdwqb5dk19s6pakw.png,https:/res.cloudinary.com/dadubemrv/image/upload/v1783263605/ujoydnhzuhsnv7yic56j.png,https:/res.cloudinary.com/dadubemrv/image/upload/v1783263608/d8tvcndvdvbcscplmsni.png,https:/res.cloudinary.com/dadubemrv/image/upload/v1783263611/xnrnsjt720lvbgoycchm.pn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1341/mt0reu4d16nbbglfigzi.jpg" TargetMode="External" /><Relationship Id="rId30" Type="http://schemas.openxmlformats.org/officeDocument/2006/relationships/hyperlink" Target="https://res.cloudinary.com/dadubemrv/image/upload/v1771580533/lfmu3tsjv8rrj4tcyhfj.jpg" TargetMode="External" /><Relationship Id="rId35" Type="http://schemas.openxmlformats.org/officeDocument/2006/relationships/hyperlink" Target="https://res.cloudinary.com/dadubemrv/image/upload/v1771581176/bpjq83f63jehupa4mqs7.jpg" TargetMode="External" /><Relationship Id="rId43" Type="http://schemas.openxmlformats.org/officeDocument/2006/relationships/hyperlink" Target="https://i.imgur.com/44eqx0V.jpeg" TargetMode="External" /><Relationship Id="rId48" Type="http://schemas.openxmlformats.org/officeDocument/2006/relationships/hyperlink" Target="https://i.imgur.com/PRWYDB8.jpeg" TargetMode="External" /><Relationship Id="rId56" Type="http://schemas.openxmlformats.org/officeDocument/2006/relationships/hyperlink" Target="https://i.imgur.com/8n2VCOb.jpeg" TargetMode="External" /><Relationship Id="rId64" Type="http://schemas.openxmlformats.org/officeDocument/2006/relationships/hyperlink" Target="https://i.imgur.com/q2J0K9c.jpeg" TargetMode="External" /><Relationship Id="rId69" Type="http://schemas.openxmlformats.org/officeDocument/2006/relationships/hyperlink" Target="https://res.cloudinary.com/dadubemrv/image/upload/v1784692768/blzn2f4qf4csagllrdmj.png,https:/res.cloudinary.com/dadubemrv/image/upload/v1784692772/mlwmihwoocbpcd5of6rx.png,https:/res.cloudinary.com/dadubemrv/image/upload/v1784692776/adpmufdqkz5qxw5yzj0p.pn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P1inplO.jpeg" TargetMode="External" /><Relationship Id="rId72" Type="http://schemas.openxmlformats.org/officeDocument/2006/relationships/hyperlink" Target="https://res.cloudinary.com/dadubemrv/image/upload/v1784692768/blzn2f4qf4csagllrdmj.png,https:/res.cloudinary.com/dadubemrv/image/upload/v1784692772/mlwmihwoocbpcd5of6rx.png,https:/res.cloudinary.com/dadubemrv/image/upload/v1784692776/adpmufdqkz5qxw5yzj0p.pn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0879/sz2yqh5rmfyci6hwivcc.jpg" TargetMode="External" /><Relationship Id="rId38" Type="http://schemas.openxmlformats.org/officeDocument/2006/relationships/hyperlink" Target="https://res.cloudinary.com/dadubemrv/image/upload/v1784259489/jon7ha1w9jssifhlph7u.png,https:/res.cloudinary.com/dadubemrv/image/upload/v1784259493/l9iore0gcpvw7hcecvvt.png,https:/res.cloudinary.com/dadubemrv/image/upload/v1784259496/fyqiathetzwuch9vy3t7.png" TargetMode="External" /><Relationship Id="rId46" Type="http://schemas.openxmlformats.org/officeDocument/2006/relationships/hyperlink" Target="https://i.imgur.com/KDUYUX7.jpeg" TargetMode="External" /><Relationship Id="rId59" Type="http://schemas.openxmlformats.org/officeDocument/2006/relationships/hyperlink" Target="https://i.imgur.com/sVIQDun.jpeg" TargetMode="External" /><Relationship Id="rId67" Type="http://schemas.openxmlformats.org/officeDocument/2006/relationships/hyperlink" Target="https://res.cloudinary.com/dadubemrv/image/upload/v1784731784/ptqhzxe6hdaphiivprrc.png,https:/res.cloudinary.com/dadubemrv/image/upload/v1784731787/jc6dwnedukuiwimgdgxv.png,https:/res.cloudinary.com/dadubemrv/image/upload/v1784731789/aidqozqvzsxtxmtppi1c.pn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i.imgur.com/44eqx0V.jpeg" TargetMode="External" /><Relationship Id="rId54" Type="http://schemas.openxmlformats.org/officeDocument/2006/relationships/hyperlink" Target="https://i.imgur.com/uDMIvrF.jpeg" TargetMode="External" /><Relationship Id="rId62" Type="http://schemas.openxmlformats.org/officeDocument/2006/relationships/hyperlink" Target="https://i.imgur.com/q2J0K9c.jpeg" TargetMode="External" /><Relationship Id="rId70" Type="http://schemas.openxmlformats.org/officeDocument/2006/relationships/hyperlink" Target="https://res.cloudinary.com/dadubemrv/image/upload/v1783263602/yd7hsdwqb5dk19s6pakw.png,https:/res.cloudinary.com/dadubemrv/image/upload/v1783263605/ujoydnhzuhsnv7yic56j.png,https:/res.cloudinary.com/dadubemrv/image/upload/v1783263608/d8tvcndvdvbcscplmsni.png,https:/res.cloudinary.com/dadubemrv/image/upload/v1783263611/xnrnsjt720lvbgoycchm.pn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8"/>
  <sheetViews>
    <sheetView tabSelected="1" workbookViewId="0">
      <pane xSplit="1" ySplit="1" topLeftCell="D2" activePane="bottomRight" state="frozen"/>
      <selection activeCell="A5" sqref="A5"/>
      <selection pane="bottomLeft" activeCell="D30" sqref="D30"/>
      <selection pane="topRight" activeCell="C1" sqref="C1"/>
      <selection pane="bottomRight" activeCell="E2" sqref="E2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180</v>
      </c>
      <c r="M1" t="s">
        <v>183</v>
      </c>
      <c r="N1" t="s">
        <v>213</v>
      </c>
      <c r="O1" t="s">
        <v>220</v>
      </c>
      <c r="P1" t="s">
        <v>225</v>
      </c>
      <c r="Q1" t="s">
        <v>230</v>
      </c>
      <c r="R1" t="s">
        <v>231</v>
      </c>
      <c r="S1" t="s">
        <v>238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[texmathpro@gmail.com](mailto:texmathpro@gmail.com?subj"&amp;"ect=Subscribe&amp;body=SUBSCRIBE)", "{{&lt; adsense &gt;}}")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[texmathpro@gmail.com](mailto:texmathpro@gmail.com?subject=Subscribe&amp;body=SUBSCRIBE){{&lt; adsense &gt;}}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46178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263</v>
      </c>
      <c r="B6" s="13" t="s">
        <v>19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20</v>
      </c>
      <c r="B7" s="13" t="s">
        <v>21</v>
      </c>
      <c r="C7" s="16" t="s">
        <v>22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23</v>
      </c>
      <c r="B8" s="13" t="s">
        <v>24</v>
      </c>
      <c r="C8" s="14" t="s">
        <v>22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264</v>
      </c>
      <c r="B9" s="13" t="s">
        <v>25</v>
      </c>
      <c r="C9" s="14" t="s">
        <v>22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26</v>
      </c>
      <c r="B10" s="13" t="s">
        <v>27</v>
      </c>
      <c r="C10" s="16" t="s">
        <v>28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29</v>
      </c>
      <c r="B11" s="13" t="s">
        <v>30</v>
      </c>
      <c r="C11" s="14" t="s">
        <v>28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265</v>
      </c>
      <c r="B12" s="13" t="s">
        <v>31</v>
      </c>
      <c r="C12" s="14" t="s">
        <v>28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32</v>
      </c>
      <c r="B13" s="13" t="s">
        <v>33</v>
      </c>
      <c r="C13" s="16" t="s">
        <v>34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35</v>
      </c>
      <c r="B14" s="13" t="s">
        <v>36</v>
      </c>
      <c r="C14" s="14" t="s">
        <v>34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266</v>
      </c>
      <c r="B15" s="13" t="s">
        <v>37</v>
      </c>
      <c r="C15" s="14" t="s">
        <v>34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189</v>
      </c>
      <c r="B16" s="13" t="s">
        <v>38</v>
      </c>
      <c r="C16" s="18" t="s">
        <v>39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190</v>
      </c>
      <c r="B17" s="13" t="s">
        <v>40</v>
      </c>
      <c r="C17" s="18" t="s">
        <v>39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267</v>
      </c>
      <c r="B18" s="13" t="s">
        <v>41</v>
      </c>
      <c r="C18" s="18" t="s">
        <v>39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191</v>
      </c>
      <c r="B19" s="13" t="s">
        <v>42</v>
      </c>
      <c r="C19" s="16" t="s">
        <v>43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192</v>
      </c>
      <c r="B20" s="13" t="s">
        <v>44</v>
      </c>
      <c r="C20" s="14" t="s">
        <v>43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268</v>
      </c>
      <c r="B21" s="13" t="s">
        <v>45</v>
      </c>
      <c r="C21" s="14" t="s">
        <v>43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193</v>
      </c>
      <c r="B22" s="13" t="s">
        <v>46</v>
      </c>
      <c r="C22" s="16" t="s">
        <v>47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194</v>
      </c>
      <c r="B23" s="13" t="s">
        <v>48</v>
      </c>
      <c r="C23" s="14" t="s">
        <v>47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269</v>
      </c>
      <c r="B24" s="13" t="s">
        <v>49</v>
      </c>
      <c r="C24" s="14" t="s">
        <v>47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195</v>
      </c>
      <c r="B25" s="13" t="s">
        <v>50</v>
      </c>
      <c r="C25" s="16" t="s">
        <v>51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196</v>
      </c>
      <c r="B26" s="13" t="s">
        <v>52</v>
      </c>
      <c r="C26" s="14" t="s">
        <v>51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270</v>
      </c>
      <c r="B27" s="13" t="s">
        <v>53</v>
      </c>
      <c r="C27" s="14" t="s">
        <v>51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3" t="s">
        <v>54</v>
      </c>
      <c r="B29" s="13" t="s">
        <v>242</v>
      </c>
      <c r="C29" s="22" t="s">
        <v>173</v>
      </c>
      <c r="D29" s="8" t="str">
        <f>CONCATENATE("*Tinatamad ka ba, walang time, o nahihirapang gumawa ng TOS at ", Sheet1!M29, " mo, ",Sheet1!O29," KasaMath? Kuha ka na ng ", Sheet1!P29,"!*
**Bakit perfect para sa’yo ang ", Sheet1!P29,"?**
",Sheet2!D$17, Sheet1!Q29," days  
- ", Sheet1!R29,"-item Multiple Choice test with Answer Key  
- Para sa teachers na nagmamadali at hindi kailangan ang TOS", L29, "
---
## Step 1: I-fill out at i-submit ang Order Form.
", "{{&lt; iframe src=""", "https://cityofsmiles.github.io/auto-order-form/?id=", LOWER(A29), """ height=""850"" &gt;}}","
## Step 2: Payment and Delivery
### Payment Methods
Mag-send ka lang ng ₱",Sheet1!F29," para sa **", Sheet1!M29,_xlfn._LONGTEXT("**.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Sheet1!R29,"-item multiple choice test
  - Dimensions: A4 bond paper
  - Format: PDF, created using LaTeX
- **Answer Key**
  - Format: PDF, created using LaTeX", Sheet2!$D$6)</f>
        <v>*Tinatamad ka ba, walang time, o nahihirapang gumawa ng TOS at First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Number of days: 15 days  
- 25-item Multiple Choice test with Answer Key  
- Para sa teachers na nagmamadali at hindi kailangan ang TOS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## Step 1: I-fill out at i-submit ang Order Form.
{{&lt; iframe src="https://cityofsmiles.github.io/auto-order-form/?id=g7-t1-s1-bp" height="850" &gt;}}
## Step 2: Payment and Delivery
### Payment Methods
Mag-send ka lang ng ₱59 para sa **First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---
Salamat sa pagsuporta sa **TeXMathPro, KasaMath**! Kung may tanong o suggestion ka, [kontakin mo lang ako](mailto:texmathpro@gmail.com).</v>
      </c>
      <c r="E29" s="10"/>
      <c r="F29" s="9">
        <v>59</v>
      </c>
      <c r="G29" s="9">
        <v>49</v>
      </c>
      <c r="H29" s="10" t="b">
        <v>0</v>
      </c>
      <c r="I29" s="5">
        <v>46176</v>
      </c>
      <c r="J29" s="10" t="b">
        <v>1</v>
      </c>
      <c r="K29" s="17">
        <v>46179</v>
      </c>
      <c r="L29" s="24" t="s">
        <v>234</v>
      </c>
      <c r="M29" s="10" t="str" cm="1">
        <f t="array" ref="M29">_xlfn.XLOOKUP(TRUE,ISNUMBER(SEARCH(Sheet2!A$23:A$26,A29)),Sheet2!B$23:B$26,"")</f>
        <v>First Summative test</v>
      </c>
      <c r="N29" s="10" t="str" cm="1">
        <f t="array" ref="N29">_xlfn.XLOOKUP(TRUE,ISNUMBER(SEARCH(Sheet2!A$30:A$32,A29)),Sheet2!B$30:B$32,"")</f>
        <v>First Term</v>
      </c>
      <c r="O29" s="10" t="str" cm="1">
        <f t="array" ref="O29">_xlfn.XLOOKUP(TRUE,ISNUMBER(SEARCH(Sheet2!A$36:A$39,A29)),Sheet2!B$36:B$39,"")</f>
        <v>Grade 7</v>
      </c>
      <c r="P29" s="10" t="str" cm="1">
        <f t="array" ref="P29">_xlfn.XLOOKUP(TRUE,ISNUMBER(SEARCH(Sheet2!A$43:A$45,A29)),Sheet2!B$43:B$45,"")</f>
        <v>Basic Assessment Package</v>
      </c>
      <c r="Q29" s="10">
        <v>15</v>
      </c>
      <c r="R29" s="10">
        <v>25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5.75" customHeight="1" x14ac:dyDescent="0.15">
      <c r="A30" s="13" t="s">
        <v>55</v>
      </c>
      <c r="B30" s="13" t="s">
        <v>248</v>
      </c>
      <c r="C30" s="22" t="s">
        <v>173</v>
      </c>
      <c r="D30" s="8" t="str">
        <f>CONCATENATE("*Tinatamad ka ba, walang time, o nahihirapang gumawa ng TOS at ", Sheet1!M30, " mo, ",Sheet1!O30," KasaMath? Kuha ka na ng ", Sheet1!P30,"!*
**Bakit perfect para sa’yo ang ", Sheet1!P30,"?**
",Sheet2!E$17, Sheet1!Q30," days  
- ", Sheet1!R30,"-item Multiple Choice test with Answer Key  
- Bagay sa teachers na gusto ng kumpletong exam, answer key, at TOS",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Skills*"),L30, "
---
## Step 1: I-fill out at i-submit ang Order Form.
", "{{&lt; iframe src=""", "https://cityofsmiles.github.io/auto-order-form/?id=", LOWER(A30), """ height=""850"" &gt;}}","
## Step 2: Payment and Delivery
### Payment Methods
Mag-send ka lang ng ₱",Sheet1!F30," para sa **", Sheet1!M30,_xlfn._LONGTEXT("**.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Sheet1!R30,"-item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7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Maaga kang makakapag-submit ng TOS sa head mo.  
- Table of Specifications using the 21st Century format
- Number of days: 15 days  
- 25-item Multiple Choice test with Answer Key  
- Bagay sa teachers na gusto ng kumpletong exam, answer key, at TOS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## Step 1: I-fill out at i-submit ang Order Form.
{{&lt; iframe src="https://cityofsmiles.github.io/auto-order-form/?id=g7-t1-s1-sp" height="850" &gt;}}
## Step 2: Payment and Delivery
### Payment Methods
Mag-send ka lang ng ₱79 para sa **First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0" s="10"/>
      <c r="F30" s="9">
        <v>79</v>
      </c>
      <c r="G30" s="9">
        <v>69</v>
      </c>
      <c r="H30" s="10" t="b">
        <v>0</v>
      </c>
      <c r="I30" s="5">
        <v>46176</v>
      </c>
      <c r="J30" s="10" t="b">
        <v>1</v>
      </c>
      <c r="K30" s="17">
        <v>46179</v>
      </c>
      <c r="L30" s="24" t="s">
        <v>234</v>
      </c>
      <c r="M30" s="10" t="str" cm="1">
        <f t="array" ref="M30">_xlfn.XLOOKUP(TRUE,ISNUMBER(SEARCH(Sheet2!A$23:A$26,A30)),Sheet2!B$23:B$26,"")</f>
        <v>First Summative test</v>
      </c>
      <c r="N30" s="10" t="str" cm="1">
        <f t="array" ref="N30">_xlfn.XLOOKUP(TRUE,ISNUMBER(SEARCH(Sheet2!A$30:A$32,A30)),Sheet2!B$30:B$32,"")</f>
        <v>First Term</v>
      </c>
      <c r="O30" s="10" t="str" cm="1">
        <f t="array" ref="O30">_xlfn.XLOOKUP(TRUE,ISNUMBER(SEARCH(Sheet2!A$36:A$39,A30)),Sheet2!B$36:B$39,"")</f>
        <v>Grade 7</v>
      </c>
      <c r="P30" s="10" t="str" cm="1">
        <f t="array" ref="P30">_xlfn.XLOOKUP(TRUE,ISNUMBER(SEARCH(Sheet2!A$43:A$45,A30)),Sheet2!B$43:B$45,"")</f>
        <v>Standard Assessment Package</v>
      </c>
      <c r="Q30" s="10">
        <v>15</v>
      </c>
      <c r="R30" s="10">
        <v>25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1:28" ht="15.75" customHeight="1" x14ac:dyDescent="0.15">
      <c r="A31" s="13" t="s">
        <v>252</v>
      </c>
      <c r="B31" s="13" t="s">
        <v>271</v>
      </c>
      <c r="C31" s="22" t="s">
        <v>173</v>
      </c>
      <c r="D31" s="8" t="str">
        <f>CONCATENATE("*Tinatamad ka ba, walang time, o nahihirapang gumawa ng TOS at ", Sheet1!M31, " mo, ",Sheet1!O31," KasaMath? Kuha ka na ng ", Sheet1!P31,"!*
**Bakit perfect para sa’yo ang ", Sheet1!P31,"?**
",Sheet2!F$17," 
- Perfect sa teachers na gusto ng pasadyang exam",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Skills*"),L31, "
---
## Step 1: I-fill out at i-submit ang Order Form.
", "{{&lt; iframe src=""", "https://cityofsmiles.github.io/auto-order-form/?id=", LOWER(A31), """ height=""850"" &gt;}}","
## Step 2: Payment and Delivery
### Payment Methods
Mag-send ka lang ng ₱",Sheet1!F31," para sa **", Sheet1!M31,_xlfn._LONGTEXT("**.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Sheet1!R31,"-item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7 KasaMath? Kuha ka na ng Custom Assessment Package!*
**Bakit perfect para sa’yo ang Custom Assessment Package?**
- Makakatipid ka sa oras kaya makakapaghabol pa ng lessons.  
- Maganda at consistent ang formatting ng test questions at figures.  
- Ready na ang answer key kaya mas madali at mabilis ang pagche-check. 
- Fully customizable exam: kahit anong topic ang pwedeng covered
- Maaga kang makakapag-submit ng TOS sa head mo.  
- Table of Specifications using the 21st Century format
- Number of days: pwede kahit ilan
- Number of items: kahit ilan basta maximum of 50 
- Perfect sa teachers na gusto ng pasadyang exam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## Step 1: I-fill out at i-submit ang Order Form.
{{&lt; iframe src="https://cityofsmiles.github.io/auto-order-form/?id=g7-t1-s1-cp" height="850" &gt;}}
## Step 2: Payment and Delivery
### Payment Methods
Mag-send ka lang ng ₱179 para sa **First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1" s="10"/>
      <c r="F31" s="9">
        <v>179</v>
      </c>
      <c r="G31" s="9">
        <v>169</v>
      </c>
      <c r="H31" s="10" t="b">
        <v>0</v>
      </c>
      <c r="I31" s="5">
        <v>46176</v>
      </c>
      <c r="J31" s="10" t="b">
        <v>1</v>
      </c>
      <c r="K31" s="17">
        <v>46179</v>
      </c>
      <c r="L31" s="24" t="s">
        <v>234</v>
      </c>
      <c r="M31" s="10" t="str" cm="1">
        <f t="array" ref="M31">_xlfn.XLOOKUP(TRUE,ISNUMBER(SEARCH(Sheet2!A$23:A$26,A31)),Sheet2!B$23:B$26,"")</f>
        <v>First Summative test</v>
      </c>
      <c r="N31" s="10" t="str" cm="1">
        <f t="array" ref="N31">_xlfn.XLOOKUP(TRUE,ISNUMBER(SEARCH(Sheet2!A$30:A$32,A31)),Sheet2!B$30:B$32,"")</f>
        <v>First Term</v>
      </c>
      <c r="O31" s="10" t="str" cm="1">
        <f t="array" ref="O31">_xlfn.XLOOKUP(TRUE,ISNUMBER(SEARCH(Sheet2!A$36:A$39,A31)),Sheet2!B$36:B$39,"")</f>
        <v>Grade 7</v>
      </c>
      <c r="P31" s="10" t="str" cm="1">
        <f t="array" ref="P31">_xlfn.XLOOKUP(TRUE,ISNUMBER(SEARCH(Sheet2!A$43:A$45,A31)),Sheet2!B$43:B$45,"")</f>
        <v>Custom Assessment Package</v>
      </c>
      <c r="Q31" s="10"/>
      <c r="R31" s="10" t="s">
        <v>274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1:28" ht="18" customHeight="1" x14ac:dyDescent="0.15">
      <c r="A32" s="13" t="s">
        <v>178</v>
      </c>
      <c r="B32" s="13" t="s">
        <v>243</v>
      </c>
      <c r="C32" s="26" t="s">
        <v>179</v>
      </c>
      <c r="D32" s="8" t="str">
        <f>CONCATENATE("*Tinatamad ka ba, walang time, o nahihirapang gumawa ng TOS at ", Sheet1!M32, " mo, ",Sheet1!O32," KasaMath? Kuha ka na ng ", Sheet1!P32,"!*
**Bakit perfect para sa’yo ang ", Sheet1!P32,"?**
",Sheet2!D$17, Sheet1!Q32," days  
- ", Sheet1!R32,"-item Multiple Choice test with Answer Key  
- Para sa teachers na nagmamadali at hindi kailangan ang TOS", L32, "
---
## Step 1: I-fill out at i-submit ang Order Form.
", "{{&lt; iframe src=""", "https://cityofsmiles.github.io/auto-order-form/?id=", LOWER(A32), """ height=""850"" &gt;}}","
## Step 2: Payment and Delivery
### Payment Methods
Mag-send ka lang ng ₱",Sheet1!F32," para sa **", Sheet1!M32,_xlfn._LONGTEXT("**.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Sheet1!R32,"-item multiple choice test
  - Dimensions: A4 bond paper
  - Format: PDF, created using LaTeX
- **Answer Key**
  - Format: PDF, created using LaTeX", Sheet2!$D$6)</f>
        <v>*Tinatamad ka ba, walang time, o nahihirapang gumawa ng TOS at Second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Number of days: 15 days  
- 25-item Multiple Choice test with Answer Key  
- Para sa teachers na nagmamadali at hindi kailangan ang TOS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
---
## Step 1: I-fill out at i-submit ang Order Form.
{{&lt; iframe src="https://cityofsmiles.github.io/auto-order-form/?id=g7-t1-s2-bp" height="850" &gt;}}
## Step 2: Payment and Delivery
### Payment Methods
Mag-send ka lang ng ₱59 para sa **Second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---
Salamat sa pagsuporta sa **TeXMathPro, KasaMath**! Kung may tanong o suggestion ka, [kontakin mo lang ako](mailto:texmathpro@gmail.com).</v>
      </c>
      <c r="E32" s="10"/>
      <c r="F32" s="9">
        <v>59</v>
      </c>
      <c r="G32" s="9">
        <v>49</v>
      </c>
      <c r="H32" s="10" t="b">
        <v>0</v>
      </c>
      <c r="I32" s="5">
        <v>46176</v>
      </c>
      <c r="J32" s="10" t="b">
        <v>1</v>
      </c>
      <c r="K32" s="17">
        <v>46179</v>
      </c>
      <c r="L32" s="24" t="s">
        <v>235</v>
      </c>
      <c r="M32" s="10" t="str" cm="1">
        <f t="array" ref="M32">_xlfn.XLOOKUP(TRUE,ISNUMBER(SEARCH(Sheet2!A$23:A$26,A32)),Sheet2!B$23:B$26,"")</f>
        <v>Second Summative test</v>
      </c>
      <c r="N32" s="10" t="str" cm="1">
        <f t="array" ref="N32">_xlfn.XLOOKUP(TRUE,ISNUMBER(SEARCH(Sheet2!A$30:A$32,A32)),Sheet2!B$30:B$32,"")</f>
        <v>First Term</v>
      </c>
      <c r="O32" s="10" t="str" cm="1">
        <f t="array" ref="O32">_xlfn.XLOOKUP(TRUE,ISNUMBER(SEARCH(Sheet2!A$36:A$39,A32)),Sheet2!B$36:B$39,"")</f>
        <v>Grade 7</v>
      </c>
      <c r="P32" s="10" t="str" cm="1">
        <f t="array" ref="P32">_xlfn.XLOOKUP(TRUE,ISNUMBER(SEARCH(Sheet2!A$43:A$45,A32)),Sheet2!B$43:B$45,"")</f>
        <v>Basic Assessment Package</v>
      </c>
      <c r="Q32" s="10">
        <v>15</v>
      </c>
      <c r="R32" s="10">
        <v>25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18" customHeight="1" x14ac:dyDescent="0.15">
      <c r="A33" s="13" t="s">
        <v>246</v>
      </c>
      <c r="B33" s="13" t="s">
        <v>247</v>
      </c>
      <c r="C33" s="26" t="s">
        <v>179</v>
      </c>
      <c r="D33" s="8" t="str">
        <f>CONCATENATE("*Tinatamad ka ba, walang time, o nahihirapang gumawa ng TOS at ", Sheet1!M33, " mo, ",Sheet1!O33," KasaMath? Kuha ka na ng ", Sheet1!P33,"!*
**Bakit perfect para sa’yo ang ", Sheet1!P33,"?**
",Sheet2!E$17, Sheet1!Q33," days  
- ", Sheet1!R33,"-item Multiple Choice test with Answer Key  
- Bagay sa teachers na gusto ng kumpletong exam, answer key, at TOS",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Skills*"),L33, "
---
## Step 1: I-fill out at i-submit ang Order Form.
", "{{&lt; iframe src=""", "https://cityofsmiles.github.io/auto-order-form/?id=", LOWER(A33), """ height=""850"" &gt;}}","
## Step 2: Payment and Delivery
### Payment Methods
Mag-send ka lang ng ₱",Sheet1!F33," para sa **", Sheet1!M33,_xlfn._LONGTEXT("**.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Sheet1!R33,"-item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7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Maaga kang makakapag-submit ng TOS sa head mo.  
- Table of Specifications using the 21st Century format
- Number of days: 15 days  
- 25-item Multiple Choice test with Answer Key  
- Bagay sa teachers na gusto ng kumpletong exam, answer key, at TOS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
---
## Step 1: I-fill out at i-submit ang Order Form.
{{&lt; iframe src="https://cityofsmiles.github.io/auto-order-form/?id=g7-t1-s2-sp" height="850" &gt;}}
## Step 2: Payment and Delivery
### Payment Methods
Mag-send ka lang ng ₱79 para sa **Second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3" s="10"/>
      <c r="F33" s="9">
        <v>79</v>
      </c>
      <c r="G33" s="9">
        <v>69</v>
      </c>
      <c r="H33" s="10" t="b">
        <v>0</v>
      </c>
      <c r="I33" s="5">
        <v>46176</v>
      </c>
      <c r="J33" s="10" t="b">
        <v>1</v>
      </c>
      <c r="K33" s="17">
        <v>46179</v>
      </c>
      <c r="L33" s="24" t="s">
        <v>235</v>
      </c>
      <c r="M33" s="10" t="str" cm="1">
        <f t="array" ref="M33">_xlfn.XLOOKUP(TRUE,ISNUMBER(SEARCH(Sheet2!A$23:A$26,A33)),Sheet2!B$23:B$26,"")</f>
        <v>Second Summative test</v>
      </c>
      <c r="N33" s="10" t="str" cm="1">
        <f t="array" ref="N33">_xlfn.XLOOKUP(TRUE,ISNUMBER(SEARCH(Sheet2!A$30:A$32,A33)),Sheet2!B$30:B$32,"")</f>
        <v>First Term</v>
      </c>
      <c r="O33" s="10" t="str" cm="1">
        <f t="array" ref="O33">_xlfn.XLOOKUP(TRUE,ISNUMBER(SEARCH(Sheet2!A$36:A$39,A33)),Sheet2!B$36:B$39,"")</f>
        <v>Grade 7</v>
      </c>
      <c r="P33" s="10" t="str" cm="1">
        <f t="array" ref="P33">_xlfn.XLOOKUP(TRUE,ISNUMBER(SEARCH(Sheet2!A$43:A$45,A33)),Sheet2!B$43:B$45,"")</f>
        <v>Standard Assessment Package</v>
      </c>
      <c r="Q33" s="10">
        <v>15</v>
      </c>
      <c r="R33" s="10">
        <v>25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1:28" ht="18" customHeight="1" x14ac:dyDescent="0.15">
      <c r="A34" s="11" t="s">
        <v>275</v>
      </c>
      <c r="B34" s="11" t="s">
        <v>276</v>
      </c>
      <c r="C34" s="26" t="s">
        <v>179</v>
      </c>
      <c r="D34" s="8" t="str">
        <f>CONCATENATE("*Tinatamad ka ba, walang time, o nahihirapang gumawa ng TOS at ", Sheet1!M34, " mo, ",Sheet1!O34," KasaMath? Kuha ka na ng ", Sheet1!P34,"!*
**Bakit perfect para sa’yo ang ", Sheet1!P34,"?**
",Sheet2!F$17," 
- Perfect sa teachers na gusto ng pasadyang exam",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Skills*"),L34, "
---
## Step 1: I-fill out at i-submit ang Order Form.
", "{{&lt; iframe src=""", "https://cityofsmiles.github.io/auto-order-form/?id=", LOWER(A34), """ height=""850"" &gt;}}","
## Step 2: Payment and Delivery
### Payment Methods
Mag-send ka lang ng ₱",Sheet1!F34," para sa **", Sheet1!M34,_xlfn._LONGTEXT("**.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Sheet1!R34,"-item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7 KasaMath? Kuha ka na ng Custom Assessment Package!*
**Bakit perfect para sa’yo ang Custom Assessment Package?**
- Makakatipid ka sa oras kaya makakapaghabol pa ng lessons.  
- Maganda at consistent ang formatting ng test questions at figures.  
- Ready na ang answer key kaya mas madali at mabilis ang pagche-check. 
- Fully customizable exam: kahit anong topic ang pwedeng covered
- Maaga kang makakapag-submit ng TOS sa head mo.  
- Table of Specifications using the 21st Century format
- Number of days: pwede kahit ilan
- Number of items: kahit ilan basta maximum of 50 
- Perfect sa teachers na gusto ng pasadyang exam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
---
## Step 1: I-fill out at i-submit ang Order Form.
{{&lt; iframe src="https://cityofsmiles.github.io/auto-order-form/?id=g7-t1-s2-cp" height="850" &gt;}}
## Step 2: Payment and Delivery
### Payment Methods
Mag-send ka lang ng ₱179 para sa **Second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4" s="4"/>
      <c r="F34" s="9">
        <v>179</v>
      </c>
      <c r="G34" s="9">
        <v>169</v>
      </c>
      <c r="H34" s="4" t="b">
        <v>0</v>
      </c>
      <c r="I34" s="5">
        <v>46176</v>
      </c>
      <c r="J34" s="10" t="b">
        <v>1</v>
      </c>
      <c r="K34" s="17">
        <v>46179</v>
      </c>
      <c r="L34" s="24" t="s">
        <v>235</v>
      </c>
      <c r="M34" s="10" t="str" cm="1">
        <f t="array" ref="M34">_xlfn.XLOOKUP(TRUE,ISNUMBER(SEARCH(Sheet2!A$23:A$26,A34)),Sheet2!B$23:B$26,"")</f>
        <v>Second Summative test</v>
      </c>
      <c r="N34" s="10" t="str" cm="1">
        <f t="array" ref="N34">_xlfn.XLOOKUP(TRUE,ISNUMBER(SEARCH(Sheet2!A$30:A$32,A34)),Sheet2!B$30:B$32,"")</f>
        <v>First Term</v>
      </c>
      <c r="O34" s="10" t="str" cm="1">
        <f t="array" ref="O34">_xlfn.XLOOKUP(TRUE,ISNUMBER(SEARCH(Sheet2!A$36:A$39,A34)),Sheet2!B$36:B$39,"")</f>
        <v>Grade 7</v>
      </c>
      <c r="P34" s="10" t="str" cm="1">
        <f t="array" ref="P34">_xlfn.XLOOKUP(TRUE,ISNUMBER(SEARCH(Sheet2!A$43:A$45,A34)),Sheet2!B$43:B$45,"")</f>
        <v>Custom Assessment Package</v>
      </c>
      <c r="Q34" s="10"/>
      <c r="R34" s="10" t="s">
        <v>274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 spans="1:28" ht="15.75" customHeight="1" x14ac:dyDescent="0.15">
      <c r="A35" s="13" t="s">
        <v>56</v>
      </c>
      <c r="B35" s="13" t="s">
        <v>57</v>
      </c>
      <c r="C35" s="16" t="s">
        <v>58</v>
      </c>
      <c r="D3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5" s="4"/>
      <c r="F35" s="9">
        <v>120</v>
      </c>
      <c r="G35" s="9">
        <v>84</v>
      </c>
      <c r="H35" s="4" t="b">
        <v>0</v>
      </c>
      <c r="I35" s="5">
        <v>46176</v>
      </c>
      <c r="J35" s="4" t="b">
        <v>0</v>
      </c>
      <c r="K35" s="17">
        <v>46176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15.75" customHeight="1" x14ac:dyDescent="0.15">
      <c r="A36" s="13" t="s">
        <v>59</v>
      </c>
      <c r="B36" s="13" t="s">
        <v>60</v>
      </c>
      <c r="C36" s="14" t="s">
        <v>58</v>
      </c>
      <c r="D3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6" s="4"/>
      <c r="F36" s="15">
        <v>165</v>
      </c>
      <c r="G36" s="15">
        <v>115</v>
      </c>
      <c r="H36" s="4" t="b">
        <v>0</v>
      </c>
      <c r="I36" s="5">
        <v>46176</v>
      </c>
      <c r="J36" s="4" t="b">
        <v>0</v>
      </c>
      <c r="K36" s="17">
        <v>46176</v>
      </c>
    </row>
    <row r="37" spans="1:28" ht="15.75" customHeight="1" x14ac:dyDescent="0.15">
      <c r="A37" s="13" t="s">
        <v>253</v>
      </c>
      <c r="B37" s="13" t="s">
        <v>61</v>
      </c>
      <c r="C37" s="14" t="s">
        <v>58</v>
      </c>
      <c r="D3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7" s="4"/>
      <c r="F37" s="15">
        <v>350</v>
      </c>
      <c r="G37" s="15">
        <v>245</v>
      </c>
      <c r="H37" s="4" t="b">
        <v>0</v>
      </c>
      <c r="I37" s="5">
        <v>46176</v>
      </c>
      <c r="J37" s="4" t="b">
        <v>0</v>
      </c>
      <c r="K37" s="17">
        <v>46176</v>
      </c>
    </row>
    <row r="38" spans="1:28" ht="15.75" customHeight="1" x14ac:dyDescent="0.15">
      <c r="A38" s="13" t="s">
        <v>62</v>
      </c>
      <c r="B38" s="13" t="s">
        <v>244</v>
      </c>
      <c r="C38" s="23" t="s">
        <v>174</v>
      </c>
      <c r="D38" s="8" t="str">
        <f>CONCATENATE("*Tinatamad ka ba, walang time, o nahihirapang gumawa ng TOS at ", Sheet1!M38, " mo, ",Sheet1!O38," KasaMath? Kuha ka na ng ", Sheet1!P38,"!*
**Bakit perfect para sa’yo ang ", Sheet1!P38,"?**
",Sheet2!D$17, Sheet1!Q38," days  
- ", Sheet1!R38,"-item Multiple Choice test with Answer Key  
- Para sa teachers na nagmamadali at hindi kailangan ang TOS", L38, "
---
## Step 1: I-fill out at i-submit ang Order Form.
", "{{&lt; iframe src=""", "https://cityofsmiles.github.io/auto-order-form/?id=", LOWER(A38), """ height=""850"" &gt;}}","
## Step 2: Payment and Delivery
### Payment Methods
Mag-send ka lang ng ₱",Sheet1!F38," para sa **", Sheet1!M38,_xlfn._LONGTEXT("**.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Sheet1!R38,"-item multiple choice test
  - Dimensions: A4 bond paper
  - Format: PDF, created using LaTeX
- **Answer Key**
  - Format: PDF, created using LaTeX", Sheet2!$D$6)</f>
        <v>*Tinatamad ka ba, walang time, o nahihirapang gumawa ng TOS at First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Number of days: 15 days  
- 25-item Multiple Choice test with Answer Key  
- Para sa teachers na nagmamadali at hindi kailangan ang TOS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## Step 1: I-fill out at i-submit ang Order Form.
{{&lt; iframe src="https://cityofsmiles.github.io/auto-order-form/?id=g9-t1-s1-bp" height="850" &gt;}}
## Step 2: Payment and Delivery
### Payment Methods
Mag-send ka lang ng ₱59 para sa **First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---
Salamat sa pagsuporta sa **TeXMathPro, KasaMath**! Kung may tanong o suggestion ka, [kontakin mo lang ako](mailto:texmathpro@gmail.com).</v>
      </c>
      <c r="E38" s="10"/>
      <c r="F38" s="9">
        <v>59</v>
      </c>
      <c r="G38" s="9">
        <v>49</v>
      </c>
      <c r="H38" s="10" t="b">
        <v>0</v>
      </c>
      <c r="I38" s="5">
        <v>46176</v>
      </c>
      <c r="J38" s="10" t="b">
        <v>1</v>
      </c>
      <c r="K38" s="17">
        <v>46179</v>
      </c>
      <c r="L38" s="24" t="s">
        <v>236</v>
      </c>
      <c r="M38" s="10" t="str" cm="1">
        <f t="array" ref="M38">_xlfn.XLOOKUP(TRUE,ISNUMBER(SEARCH(Sheet2!A$23:A$26,A38)),Sheet2!B$23:B$26,"")</f>
        <v>First Summative test</v>
      </c>
      <c r="N38" s="10" t="str" cm="1">
        <f t="array" ref="N38">_xlfn.XLOOKUP(TRUE,ISNUMBER(SEARCH(Sheet2!A$30:A$32,A38)),Sheet2!B$30:B$32,"")</f>
        <v>First Term</v>
      </c>
      <c r="O38" s="10" t="str" cm="1">
        <f t="array" ref="O38">_xlfn.XLOOKUP(TRUE,ISNUMBER(SEARCH(Sheet2!A$36:A$39,A38)),Sheet2!B$36:B$39,"")</f>
        <v>Grade 9</v>
      </c>
      <c r="P38" s="10" t="str" cm="1">
        <f t="array" ref="P38">_xlfn.XLOOKUP(TRUE,ISNUMBER(SEARCH(Sheet2!A$43:A$45,A38)),Sheet2!B$43:B$45,"")</f>
        <v>Basic Assessment Package</v>
      </c>
      <c r="Q38" s="10">
        <v>15</v>
      </c>
      <c r="R38" s="10">
        <v>25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15.75" customHeight="1" x14ac:dyDescent="0.15">
      <c r="A39" s="13" t="s">
        <v>63</v>
      </c>
      <c r="B39" s="13" t="s">
        <v>249</v>
      </c>
      <c r="C39" s="23" t="s">
        <v>174</v>
      </c>
      <c r="D39" s="8" t="str">
        <f>CONCATENATE("*Tinatamad ka ba, walang time, o nahihirapang gumawa ng TOS at ", Sheet1!M39, " mo, ",Sheet1!O39," KasaMath? Kuha ka na ng ", Sheet1!P39,"!*
**Bakit perfect para sa’yo ang ", Sheet1!P39,"?**
",Sheet2!E$17, Sheet1!Q39," days  
- ", Sheet1!R39,"-item Multiple Choice test with Answer Key  
- Bagay sa teachers na gusto ng kumpletong exam, answer key, at TOS",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Skills*"),L39, "
---
## Step 1: I-fill out at i-submit ang Order Form.
", "{{&lt; iframe src=""", "https://cityofsmiles.github.io/auto-order-form/?id=", LOWER(A39), """ height=""850"" &gt;}}","
## Step 2: Payment and Delivery
### Payment Methods
Mag-send ka lang ng ₱",Sheet1!F39," para sa **", Sheet1!M39,_xlfn._LONGTEXT("**.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Sheet1!R39,"-item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9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Maaga kang makakapag-submit ng TOS sa head mo.  
- Table of Specifications using the 21st Century format
- Number of days: 15 days  
- 25-item Multiple Choice test with Answer Key  
- Bagay sa teachers na gusto ng kumpletong exam, answer key, at TOS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## Step 1: I-fill out at i-submit ang Order Form.
{{&lt; iframe src="https://cityofsmiles.github.io/auto-order-form/?id=g9-t1-s1-sp" height="850" &gt;}}
## Step 2: Payment and Delivery
### Payment Methods
Mag-send ka lang ng ₱79 para sa **First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9" s="10"/>
      <c r="F39" s="9">
        <v>79</v>
      </c>
      <c r="G39" s="9">
        <v>69</v>
      </c>
      <c r="H39" s="10" t="b">
        <v>0</v>
      </c>
      <c r="I39" s="5">
        <v>46176</v>
      </c>
      <c r="J39" s="10" t="b">
        <v>1</v>
      </c>
      <c r="K39" s="17">
        <v>46179</v>
      </c>
      <c r="L39" s="24" t="s">
        <v>236</v>
      </c>
      <c r="M39" s="10" t="str" cm="1">
        <f t="array" ref="M39">_xlfn.XLOOKUP(TRUE,ISNUMBER(SEARCH(Sheet2!A$23:A$26,A39)),Sheet2!B$23:B$26,"")</f>
        <v>First Summative test</v>
      </c>
      <c r="N39" s="10" t="str" cm="1">
        <f t="array" ref="N39">_xlfn.XLOOKUP(TRUE,ISNUMBER(SEARCH(Sheet2!A$30:A$32,A39)),Sheet2!B$30:B$32,"")</f>
        <v>First Term</v>
      </c>
      <c r="O39" s="10" t="str" cm="1">
        <f t="array" ref="O39">_xlfn.XLOOKUP(TRUE,ISNUMBER(SEARCH(Sheet2!A$36:A$39,A39)),Sheet2!B$36:B$39,"")</f>
        <v>Grade 9</v>
      </c>
      <c r="P39" s="10" t="str" cm="1">
        <f t="array" ref="P39">_xlfn.XLOOKUP(TRUE,ISNUMBER(SEARCH(Sheet2!A$43:A$45,A39)),Sheet2!B$43:B$45,"")</f>
        <v>Standard Assessment Package</v>
      </c>
      <c r="Q39" s="10">
        <v>15</v>
      </c>
      <c r="R39" s="10">
        <v>25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</row>
    <row r="40" spans="1:28" ht="15.75" customHeight="1" x14ac:dyDescent="0.15">
      <c r="A40" s="13" t="s">
        <v>254</v>
      </c>
      <c r="B40" s="13" t="s">
        <v>277</v>
      </c>
      <c r="C40" s="23" t="s">
        <v>174</v>
      </c>
      <c r="D40" s="8" t="str">
        <f>CONCATENATE("*Tinatamad ka ba, walang time, o nahihirapang gumawa ng TOS at ", Sheet1!M40, " mo, ",Sheet1!O40," KasaMath? Kuha ka na ng ", Sheet1!P40,"!*
**Bakit perfect para sa’yo ang ", Sheet1!P40,"?**
",Sheet2!F$17," 
- Perfect sa teachers na gusto ng pasadyang exam",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Skills*"),L40, "
---
## Step 1: I-fill out at i-submit ang Order Form.
", "{{&lt; iframe src=""", "https://cityofsmiles.github.io/auto-order-form/?id=", LOWER(A40), """ height=""850"" &gt;}}","
## Step 2: Payment and Delivery
### Payment Methods
Mag-send ka lang ng ₱",Sheet1!F40," para sa **", Sheet1!M40,_xlfn._LONGTEXT("**.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Sheet1!R40,"-item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9 KasaMath? Kuha ka na ng Custom Assessment Package!*
**Bakit perfect para sa’yo ang Custom Assessment Package?**
- Makakatipid ka sa oras kaya makakapaghabol pa ng lessons.  
- Maganda at consistent ang formatting ng test questions at figures.  
- Ready na ang answer key kaya mas madali at mabilis ang pagche-check. 
- Fully customizable exam: kahit anong topic ang pwedeng covered
- Maaga kang makakapag-submit ng TOS sa head mo.  
- Table of Specifications using the 21st Century format
- Number of days: pwede kahit ilan
- Number of items: kahit ilan basta maximum of 50 
- Perfect sa teachers na gusto ng pasadyang exam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## Step 1: I-fill out at i-submit ang Order Form.
{{&lt; iframe src="https://cityofsmiles.github.io/auto-order-form/?id=g9-t1-s1-cp" height="850" &gt;}}
## Step 2: Payment and Delivery
### Payment Methods
Mag-send ka lang ng ₱179 para sa **First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40" s="10"/>
      <c r="F40" s="9">
        <v>179</v>
      </c>
      <c r="G40" s="9">
        <v>169</v>
      </c>
      <c r="H40" s="10" t="b">
        <v>0</v>
      </c>
      <c r="I40" s="5">
        <v>46176</v>
      </c>
      <c r="J40" s="10" t="b">
        <v>1</v>
      </c>
      <c r="K40" s="17">
        <v>46179</v>
      </c>
      <c r="L40" s="24" t="s">
        <v>236</v>
      </c>
      <c r="M40" s="10" t="str" cm="1">
        <f t="array" ref="M40">_xlfn.XLOOKUP(TRUE,ISNUMBER(SEARCH(Sheet2!A$23:A$26,A40)),Sheet2!B$23:B$26,"")</f>
        <v>First Summative test</v>
      </c>
      <c r="N40" s="10" t="str" cm="1">
        <f t="array" ref="N40">_xlfn.XLOOKUP(TRUE,ISNUMBER(SEARCH(Sheet2!A$30:A$32,A40)),Sheet2!B$30:B$32,"")</f>
        <v>First Term</v>
      </c>
      <c r="O40" s="10" t="str" cm="1">
        <f t="array" ref="O40">_xlfn.XLOOKUP(TRUE,ISNUMBER(SEARCH(Sheet2!A$36:A$39,A40)),Sheet2!B$36:B$39,"")</f>
        <v>Grade 9</v>
      </c>
      <c r="P40" s="10" t="str" cm="1">
        <f t="array" ref="P40">_xlfn.XLOOKUP(TRUE,ISNUMBER(SEARCH(Sheet2!A$43:A$45,A40)),Sheet2!B$43:B$45,"")</f>
        <v>Custom Assessment Package</v>
      </c>
      <c r="Q40" s="10"/>
      <c r="R40" s="10" t="s">
        <v>274</v>
      </c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spans="1:28" ht="15.75" customHeight="1" x14ac:dyDescent="0.15">
      <c r="A41" s="13" t="s">
        <v>232</v>
      </c>
      <c r="B41" s="13" t="s">
        <v>245</v>
      </c>
      <c r="C41" s="28" t="s">
        <v>233</v>
      </c>
      <c r="D41" s="8" t="str">
        <f>CONCATENATE("*Tinatamad ka ba, walang time, o nahihirapang gumawa ng TOS at ", Sheet1!M41, " mo, ",Sheet1!O41," KasaMath? Kuha ka na ng ", Sheet1!P41,"!*
**Bakit perfect para sa’yo ang ", Sheet1!P41,"?**
",Sheet2!D$17, Sheet1!Q41," days  
- ", Sheet1!R41,"-item Multiple Choice test with Answer Key  
- Para sa teachers na nagmamadali at hindi kailangan ang TOS", L41, "
---
## Step 1: I-fill out at i-submit ang Order Form.
", "{{&lt; iframe src=""", "https://cityofsmiles.github.io/auto-order-form/?id=", LOWER(A41), """ height=""850"" &gt;}}","
## Step 2: Payment and Delivery
### Payment Methods
Mag-send ka lang ng ₱",Sheet1!F41," para sa **", Sheet1!M41,_xlfn._LONGTEXT("**.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Sheet1!R41,"-item multiple choice test
  - Dimensions: A4 bond paper
  - Format: PDF, created using LaTeX
- **Answer Key**
  - Format: PDF, created using LaTeX", Sheet2!$D$6)</f>
        <v>*Tinatamad ka ba, walang time, o nahihirapang gumawa ng TOS at Second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Number of days: 15 days  
- 25-item Multiple Choice test with Answer Key  
- Para sa teachers na nagmamadali at hindi kailangan ang TOS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
---
## Step 1: I-fill out at i-submit ang Order Form.
{{&lt; iframe src="https://cityofsmiles.github.io/auto-order-form/?id=g9-t1-s2-bp" height="850" &gt;}}
## Step 2: Payment and Delivery
### Payment Methods
Mag-send ka lang ng ₱59 para sa **Second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---
Salamat sa pagsuporta sa **TeXMathPro, KasaMath**! Kung may tanong o suggestion ka, [kontakin mo lang ako](mailto:texmathpro@gmail.com).</v>
      </c>
      <c r="E41" s="10"/>
      <c r="F41" s="9">
        <v>59</v>
      </c>
      <c r="G41" s="9">
        <v>49</v>
      </c>
      <c r="H41" s="10" t="b">
        <v>0</v>
      </c>
      <c r="I41" s="5">
        <v>46176</v>
      </c>
      <c r="J41" s="10" t="b">
        <v>1</v>
      </c>
      <c r="K41" s="17">
        <v>46179</v>
      </c>
      <c r="L41" s="24" t="s">
        <v>237</v>
      </c>
      <c r="M41" s="10" t="str" cm="1">
        <f t="array" ref="M41">_xlfn.XLOOKUP(TRUE,ISNUMBER(SEARCH(Sheet2!A$23:A$26,A41)),Sheet2!B$23:B$26,"")</f>
        <v>Second Summative test</v>
      </c>
      <c r="N41" s="10" t="str" cm="1">
        <f t="array" ref="N41">_xlfn.XLOOKUP(TRUE,ISNUMBER(SEARCH(Sheet2!A$30:A$32,A41)),Sheet2!B$30:B$32,"")</f>
        <v>First Term</v>
      </c>
      <c r="O41" s="10" t="str" cm="1">
        <f t="array" ref="O41">_xlfn.XLOOKUP(TRUE,ISNUMBER(SEARCH(Sheet2!A$36:A$39,A41)),Sheet2!B$36:B$39,"")</f>
        <v>Grade 9</v>
      </c>
      <c r="P41" s="10" t="str" cm="1">
        <f t="array" ref="P41">_xlfn.XLOOKUP(TRUE,ISNUMBER(SEARCH(Sheet2!A$43:A$45,A41)),Sheet2!B$43:B$45,"")</f>
        <v>Basic Assessment Package</v>
      </c>
      <c r="Q41" s="10">
        <v>15</v>
      </c>
      <c r="R41" s="10">
        <v>25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15.75" customHeight="1" x14ac:dyDescent="0.15">
      <c r="A42" s="13" t="s">
        <v>250</v>
      </c>
      <c r="B42" s="13" t="s">
        <v>251</v>
      </c>
      <c r="C42" s="28" t="s">
        <v>233</v>
      </c>
      <c r="D42" s="8" t="str">
        <f>CONCATENATE("*Tinatamad ka ba, walang time, o nahihirapang gumawa ng TOS at ", Sheet1!M42, " mo, ",Sheet1!O42," KasaMath? Kuha ka na ng ", Sheet1!P42,"!*
**Bakit perfect para sa’yo ang ", Sheet1!P42,"?**
",Sheet2!E$17, Sheet1!Q42," days  
- ", Sheet1!R42,"-item Multiple Choice test with Answer Key  
- Bagay sa teachers na gusto ng kumpletong exam, answer key, at TOS",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Skills*"),L42, "
---
## Step 1: I-fill out at i-submit ang Order Form.
", "{{&lt; iframe src=""", "https://cityofsmiles.github.io/auto-order-form/?id=", LOWER(A42), """ height=""850"" &gt;}}","
## Step 2: Payment and Delivery
### Payment Methods
Mag-send ka lang ng ₱",Sheet1!F42," para sa **", Sheet1!M42,_xlfn._LONGTEXT("**.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Sheet1!R42,"-item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9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Ready-to-print exam: sakto sa Budget of Work ang covered topics  
- Maaga kang makakapag-submit ng TOS sa head mo.  
- Table of Specifications using the 21st Century format
- Number of days: 15 days  
- 25-item Multiple Choice test with Answer Key  
- Bagay sa teachers na gusto ng kumpletong exam, answer key, at TOS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
---
## Step 1: I-fill out at i-submit ang Order Form.
{{&lt; iframe src="https://cityofsmiles.github.io/auto-order-form/?id=g9-t1-s2-sp" height="850" &gt;}}
## Step 2: Payment and Delivery
### Payment Methods
Mag-send ka lang ng ₱79 para sa **Second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42" s="10"/>
      <c r="F42" s="9">
        <v>79</v>
      </c>
      <c r="G42" s="9">
        <v>69</v>
      </c>
      <c r="H42" s="10" t="b">
        <v>0</v>
      </c>
      <c r="I42" s="5">
        <v>46176</v>
      </c>
      <c r="J42" s="10" t="b">
        <v>1</v>
      </c>
      <c r="K42" s="17">
        <v>46179</v>
      </c>
      <c r="L42" s="24" t="s">
        <v>237</v>
      </c>
      <c r="M42" s="10" t="str" cm="1">
        <f t="array" ref="M42">_xlfn.XLOOKUP(TRUE,ISNUMBER(SEARCH(Sheet2!A$23:A$26,A42)),Sheet2!B$23:B$26,"")</f>
        <v>Second Summative test</v>
      </c>
      <c r="N42" s="10" t="str" cm="1">
        <f t="array" ref="N42">_xlfn.XLOOKUP(TRUE,ISNUMBER(SEARCH(Sheet2!A$30:A$32,A42)),Sheet2!B$30:B$32,"")</f>
        <v>First Term</v>
      </c>
      <c r="O42" s="10" t="str" cm="1">
        <f t="array" ref="O42">_xlfn.XLOOKUP(TRUE,ISNUMBER(SEARCH(Sheet2!A$36:A$39,A42)),Sheet2!B$36:B$39,"")</f>
        <v>Grade 9</v>
      </c>
      <c r="P42" s="10" t="str" cm="1">
        <f t="array" ref="P42">_xlfn.XLOOKUP(TRUE,ISNUMBER(SEARCH(Sheet2!A$43:A$45,A42)),Sheet2!B$43:B$45,"")</f>
        <v>Standard Assessment Package</v>
      </c>
      <c r="Q42" s="10">
        <v>15</v>
      </c>
      <c r="R42" s="10">
        <v>25</v>
      </c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 spans="1:28" ht="15.75" customHeight="1" x14ac:dyDescent="0.15">
      <c r="A43" s="13" t="s">
        <v>278</v>
      </c>
      <c r="B43" s="13" t="s">
        <v>279</v>
      </c>
      <c r="C43" s="28" t="s">
        <v>233</v>
      </c>
      <c r="D43" s="8" t="str">
        <f>CONCATENATE("*Tinatamad ka ba, walang time, o nahihirapang gumawa ng TOS at ", Sheet1!M43, " mo, ",Sheet1!O43," KasaMath? Kuha ka na ng ", Sheet1!P43,"!*
**Bakit perfect para sa’yo ang ", Sheet1!P43,"?**
",Sheet2!F$17," 
- Perfect sa teachers na gusto ng pasadyang exam", _xlfn._LONGTEXT("
[![Sample TOS formatted using 21st Century Skills](https://res.cloudinary.com/dadubemrv/image/upload/v1768351176/tv5zwilsnzrad6r2q6sw.png)](https://res.cloudinary.com/dadubemrv/image/upload/v1768351176/tv5zwilsnzrad6r2q6sw.png)
*Sample TOS formatted us","ing 21st Century Skills*"),L43, "
---
## Step 1: I-fill out at i-submit ang Order Form.
", "{{&lt; iframe src=""", "https://cityofsmiles.github.io/auto-order-form/?id=", LOWER(A43), """ height=""850"" &gt;}}","
## Step 2: Payment and Delivery
### Payment Methods
Mag-send ka lang ng ₱",Sheet1!F43," para sa **", Sheet1!M43,_xlfn._LONGTEXT("**. 
- **Landbank**: 0695077289 (Jonathan R. Bacolod)  
- **GCash**: 09128389571 (Jonathan Bacolod)  
- **Maya**: 09128389571 (Jonathan Bacolod)  
**Isend ang Screenshot ng Payment kahit saan dito:**
- Email: [texmathpro@gmail.com](mailto:texmathpro@gm","ail.com)  
- Facebook: https://m.me/jonathan.r.bacolod  
- Telegram: https://t.me/Jonathan_Bacolod  
Isesend ko ang files sa email address mo after ng payment. 
### Delivery Includes:
- **Test**
  - Test type: "), Sheet1!R43,"-item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9 KasaMath? Kuha ka na ng Custom Assessment Package!*
**Bakit perfect para sa’yo ang Custom Assessment Package?**
- Makakatipid ka sa oras kaya makakapaghabol pa ng lessons.  
- Maganda at consistent ang formatting ng test questions at figures.  
- Ready na ang answer key kaya mas madali at mabilis ang pagche-check. 
- Fully customizable exam: kahit anong topic ang pwedeng covered
- Maaga kang makakapag-submit ng TOS sa head mo.  
- Table of Specifications using the 21st Century format
- Number of days: pwede kahit ilan
- Number of items: kahit ilan basta maximum of 50 
- Perfect sa teachers na gusto ng pasadyang exam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
---
## Step 1: I-fill out at i-submit ang Order Form.
{{&lt; iframe src="https://cityofsmiles.github.io/auto-order-form/?id=g9-t1-s2-cp" height="850" &gt;}}
## Step 2: Payment and Delivery
### Payment Methods
Mag-send ka lang ng ₱179 para sa **Second Summative test**. 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43" s="4"/>
      <c r="F43" s="9">
        <v>179</v>
      </c>
      <c r="G43" s="9">
        <v>169</v>
      </c>
      <c r="H43" s="4" t="b">
        <v>0</v>
      </c>
      <c r="I43" s="5">
        <v>46176</v>
      </c>
      <c r="J43" s="4" t="b">
        <v>1</v>
      </c>
      <c r="K43" s="17">
        <v>46179</v>
      </c>
      <c r="L43" s="24" t="s">
        <v>237</v>
      </c>
      <c r="M43" s="10" t="str" cm="1">
        <f t="array" ref="M43">_xlfn.XLOOKUP(TRUE,ISNUMBER(SEARCH(Sheet2!A$23:A$26,A43)),Sheet2!B$23:B$26,"")</f>
        <v>Second Summative test</v>
      </c>
      <c r="N43" s="10" t="str" cm="1">
        <f t="array" ref="N43">_xlfn.XLOOKUP(TRUE,ISNUMBER(SEARCH(Sheet2!A$30:A$32,A43)),Sheet2!B$30:B$32,"")</f>
        <v>First Term</v>
      </c>
      <c r="O43" s="10" t="str" cm="1">
        <f t="array" ref="O43">_xlfn.XLOOKUP(TRUE,ISNUMBER(SEARCH(Sheet2!A$36:A$39,A43)),Sheet2!B$36:B$39,"")</f>
        <v>Grade 9</v>
      </c>
      <c r="P43" s="10" t="str" cm="1">
        <f t="array" ref="P43">_xlfn.XLOOKUP(TRUE,ISNUMBER(SEARCH(Sheet2!A$43:A$45,A43)),Sheet2!B$43:B$45,"")</f>
        <v>Custom Assessment Package</v>
      </c>
      <c r="Q43" s="10"/>
      <c r="R43" s="10" t="s">
        <v>274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 spans="1:28" ht="15.75" customHeight="1" x14ac:dyDescent="0.15">
      <c r="A44" s="13" t="s">
        <v>64</v>
      </c>
      <c r="B44" s="13" t="s">
        <v>65</v>
      </c>
      <c r="C44" s="20" t="s">
        <v>66</v>
      </c>
      <c r="D4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9">
        <v>120</v>
      </c>
      <c r="G44" s="9">
        <v>84</v>
      </c>
      <c r="H44" s="4" t="b">
        <v>0</v>
      </c>
      <c r="I44" s="5">
        <v>46176</v>
      </c>
      <c r="J44" s="4" t="b">
        <v>0</v>
      </c>
      <c r="K44" s="17">
        <v>46176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15.75" customHeight="1" x14ac:dyDescent="0.15">
      <c r="A45" s="13" t="s">
        <v>67</v>
      </c>
      <c r="B45" s="13" t="s">
        <v>68</v>
      </c>
      <c r="C45" s="20" t="s">
        <v>66</v>
      </c>
      <c r="D4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165</v>
      </c>
      <c r="G45" s="15">
        <v>115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255</v>
      </c>
      <c r="B46" s="13" t="s">
        <v>69</v>
      </c>
      <c r="C46" s="20" t="s">
        <v>66</v>
      </c>
      <c r="D4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15">
        <v>350</v>
      </c>
      <c r="G46" s="15">
        <v>245</v>
      </c>
      <c r="H46" s="4" t="b">
        <v>0</v>
      </c>
      <c r="I46" s="5">
        <v>46176</v>
      </c>
      <c r="J46" s="4" t="b">
        <v>0</v>
      </c>
      <c r="K46" s="17">
        <v>46176</v>
      </c>
    </row>
    <row r="47" spans="1:28" ht="15.75" customHeight="1" x14ac:dyDescent="0.15">
      <c r="A47" s="13" t="s">
        <v>197</v>
      </c>
      <c r="B47" s="13" t="s">
        <v>70</v>
      </c>
      <c r="C47" s="20" t="s">
        <v>71</v>
      </c>
      <c r="D4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9">
        <v>120</v>
      </c>
      <c r="G47" s="9">
        <v>84</v>
      </c>
      <c r="H47" s="4" t="b">
        <v>0</v>
      </c>
      <c r="I47" s="5">
        <v>46176</v>
      </c>
      <c r="J47" s="4" t="b">
        <v>0</v>
      </c>
      <c r="K47" s="17">
        <v>46176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15.75" customHeight="1" x14ac:dyDescent="0.15">
      <c r="A48" s="13" t="s">
        <v>198</v>
      </c>
      <c r="B48" s="13" t="s">
        <v>72</v>
      </c>
      <c r="C48" s="20" t="s">
        <v>71</v>
      </c>
      <c r="D4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165</v>
      </c>
      <c r="G48" s="15">
        <v>115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256</v>
      </c>
      <c r="B49" s="13" t="s">
        <v>73</v>
      </c>
      <c r="C49" s="20" t="s">
        <v>71</v>
      </c>
      <c r="D4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15">
        <v>350</v>
      </c>
      <c r="G49" s="15">
        <v>245</v>
      </c>
      <c r="H49" s="4" t="b">
        <v>0</v>
      </c>
      <c r="I49" s="5">
        <v>46176</v>
      </c>
      <c r="J49" s="4" t="b">
        <v>0</v>
      </c>
      <c r="K49" s="17">
        <v>46176</v>
      </c>
    </row>
    <row r="50" spans="1:28" ht="15.75" customHeight="1" x14ac:dyDescent="0.15">
      <c r="A50" s="13" t="s">
        <v>199</v>
      </c>
      <c r="B50" s="13" t="s">
        <v>74</v>
      </c>
      <c r="C50" s="16" t="s">
        <v>75</v>
      </c>
      <c r="D5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9">
        <v>120</v>
      </c>
      <c r="G50" s="9">
        <v>84</v>
      </c>
      <c r="H50" s="4" t="b">
        <v>0</v>
      </c>
      <c r="I50" s="5">
        <v>46176</v>
      </c>
      <c r="J50" s="4" t="b">
        <v>0</v>
      </c>
      <c r="K50" s="17">
        <v>46176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15.75" customHeight="1" x14ac:dyDescent="0.15">
      <c r="A51" s="13" t="s">
        <v>200</v>
      </c>
      <c r="B51" s="13" t="s">
        <v>76</v>
      </c>
      <c r="C51" s="14" t="s">
        <v>75</v>
      </c>
      <c r="D5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165</v>
      </c>
      <c r="G51" s="15">
        <v>115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257</v>
      </c>
      <c r="B52" s="13" t="s">
        <v>77</v>
      </c>
      <c r="C52" s="14" t="s">
        <v>75</v>
      </c>
      <c r="D5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15">
        <v>350</v>
      </c>
      <c r="G52" s="15">
        <v>245</v>
      </c>
      <c r="H52" s="4" t="b">
        <v>0</v>
      </c>
      <c r="I52" s="5">
        <v>46176</v>
      </c>
      <c r="J52" s="4" t="b">
        <v>0</v>
      </c>
      <c r="K52" s="17">
        <v>46176</v>
      </c>
    </row>
    <row r="53" spans="1:28" ht="15.75" customHeight="1" x14ac:dyDescent="0.15">
      <c r="A53" s="13" t="s">
        <v>201</v>
      </c>
      <c r="B53" s="13" t="s">
        <v>78</v>
      </c>
      <c r="C53" s="20" t="s">
        <v>79</v>
      </c>
      <c r="D5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3" s="9">
        <v>120</v>
      </c>
      <c r="G53" s="9">
        <v>84</v>
      </c>
      <c r="H53" s="4" t="b">
        <v>0</v>
      </c>
      <c r="I53" s="5">
        <v>46176</v>
      </c>
      <c r="J53" s="4" t="b">
        <v>0</v>
      </c>
      <c r="K53" s="17">
        <v>46176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15.75" customHeight="1" x14ac:dyDescent="0.15">
      <c r="A54" s="13" t="s">
        <v>202</v>
      </c>
      <c r="B54" s="13" t="s">
        <v>80</v>
      </c>
      <c r="C54" s="20" t="s">
        <v>79</v>
      </c>
      <c r="D5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4" s="15">
        <v>165</v>
      </c>
      <c r="G54" s="15">
        <v>115</v>
      </c>
      <c r="H54" s="4" t="b">
        <v>0</v>
      </c>
      <c r="I54" s="5">
        <v>46176</v>
      </c>
      <c r="J54" s="4" t="b">
        <v>0</v>
      </c>
      <c r="K54" s="17">
        <v>46176</v>
      </c>
    </row>
    <row r="55" spans="1:28" ht="15.75" customHeight="1" x14ac:dyDescent="0.15">
      <c r="A55" s="13" t="s">
        <v>258</v>
      </c>
      <c r="B55" s="13" t="s">
        <v>81</v>
      </c>
      <c r="C55" s="20" t="s">
        <v>79</v>
      </c>
      <c r="D5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5" s="15">
        <v>350</v>
      </c>
      <c r="G55" s="15">
        <v>245</v>
      </c>
      <c r="H55" s="4" t="b">
        <v>0</v>
      </c>
      <c r="I55" s="5">
        <v>46176</v>
      </c>
      <c r="J55" s="4" t="b">
        <v>0</v>
      </c>
      <c r="K55" s="17">
        <v>46176</v>
      </c>
    </row>
    <row r="56" spans="1:28" ht="15.75" customHeight="1" x14ac:dyDescent="0.15">
      <c r="A56" s="13" t="s">
        <v>203</v>
      </c>
      <c r="B56" s="13" t="s">
        <v>82</v>
      </c>
      <c r="C56" s="20" t="s">
        <v>83</v>
      </c>
      <c r="D5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6" s="9">
        <v>120</v>
      </c>
      <c r="G56" s="9">
        <v>84</v>
      </c>
      <c r="H56" s="4" t="b">
        <v>0</v>
      </c>
      <c r="I56" s="5">
        <v>46176</v>
      </c>
      <c r="J56" s="4" t="b">
        <v>0</v>
      </c>
      <c r="K56" s="17">
        <v>46176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5.75" customHeight="1" x14ac:dyDescent="0.15">
      <c r="A57" s="13" t="s">
        <v>204</v>
      </c>
      <c r="B57" s="13" t="s">
        <v>84</v>
      </c>
      <c r="C57" s="20" t="s">
        <v>83</v>
      </c>
      <c r="D5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7" s="15">
        <v>165</v>
      </c>
      <c r="G57" s="15">
        <v>115</v>
      </c>
      <c r="H57" s="4" t="b">
        <v>0</v>
      </c>
      <c r="I57" s="5">
        <v>46176</v>
      </c>
      <c r="J57" s="4" t="b">
        <v>0</v>
      </c>
      <c r="K57" s="17">
        <v>46176</v>
      </c>
    </row>
    <row r="58" spans="1:28" ht="15.75" customHeight="1" x14ac:dyDescent="0.15">
      <c r="A58" s="13" t="s">
        <v>259</v>
      </c>
      <c r="B58" s="13" t="s">
        <v>85</v>
      </c>
      <c r="C58" s="20" t="s">
        <v>83</v>
      </c>
      <c r="D5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8" s="15">
        <v>350</v>
      </c>
      <c r="G58" s="15">
        <v>245</v>
      </c>
      <c r="H58" s="4" t="b">
        <v>0</v>
      </c>
      <c r="I58" s="5">
        <v>46176</v>
      </c>
      <c r="J58" s="4" t="b">
        <v>0</v>
      </c>
      <c r="K58" s="17">
        <v>46176</v>
      </c>
    </row>
    <row r="59" spans="1:28" ht="15.75" customHeight="1" x14ac:dyDescent="0.15">
      <c r="A59" s="13" t="s">
        <v>86</v>
      </c>
      <c r="B59" s="13" t="s">
        <v>87</v>
      </c>
      <c r="C59" s="25" t="s">
        <v>175</v>
      </c>
      <c r="D59" s="8" t="str">
        <f>CONCATENATE(Sheet2!$C$6, S59," Multiple-choice Quizzes |
| Paper Size | A4 Bond Paper |
| File Format | PDF (Typeset in LaTeX) |
| Price | ₱",IF(H59, G59, F59),"|", CHAR(10), CHAR(10),CHAR(10), L59, CHAR(10),CHAR(10),CHAR(10), "---",CHAR(10),CHAR(10), "📥 **I-fill out ang Order Form**",CHAR(10),CHAR(10), "{{&lt; iframe src=""", "https://cityofsmiles.github.io/auto-order-form/?id=", LOWER(A59), """ height=""850"" &gt;}}", CHAR(10), CHAR(10),CHAR(10),"---
🛒 **Payment Methods**
Mag-send ka lang ng ₱",Sheet1!F59," para sa **", Sheet1!M59,"**.
", Sheet2!$B$6)</f>
        <v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|9 Multiple-choice Quizzes |
| Paper Size | A4 Bond Paper |
| File Format | PDF (Typeset in LaTeX) |
| Price | ₱89|
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
---
📥 **I-fill out ang Order Form**
{{&lt; iframe src="https://cityofsmiles.github.io/auto-order-form/?id=g7-t1-mq" height="850" &gt;}}
---
🛒 **Payment Methods**
Mag-send ka lang ng ₱89 para sa **Multiple-choice Quizzes**.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</v>
      </c>
      <c r="E59" s="4"/>
      <c r="F59" s="9">
        <v>89</v>
      </c>
      <c r="G59" s="9">
        <v>79</v>
      </c>
      <c r="H59" s="4" t="b">
        <v>0</v>
      </c>
      <c r="I59" s="5">
        <v>46176</v>
      </c>
      <c r="J59" s="4" t="b">
        <v>1</v>
      </c>
      <c r="K59" s="17">
        <v>46176</v>
      </c>
      <c r="L59" s="24" t="s">
        <v>176</v>
      </c>
      <c r="M59" s="10" t="str" cm="1">
        <f t="array" ref="M59">_xlfn.XLOOKUP(TRUE,ISNUMBER(SEARCH(Sheet2!A$23:A$26,A59)),Sheet2!B$23:B$26,"")</f>
        <v>Multiple-choice Quizzes</v>
      </c>
      <c r="N59" s="10" t="str" cm="1">
        <f t="array" ref="N59">_xlfn.XLOOKUP(TRUE,ISNUMBER(SEARCH(Sheet2!A$30:A$32,A59)),Sheet2!B$30:B$32,"")</f>
        <v>First Term</v>
      </c>
      <c r="O59" s="10" t="str" cm="1">
        <f t="array" ref="O59">_xlfn.XLOOKUP(TRUE,ISNUMBER(SEARCH(Sheet2!A$36:A$39,A59)),Sheet2!B$36:B$39,"")</f>
        <v>Grade 7</v>
      </c>
      <c r="P59" s="10" t="str" cm="1">
        <f t="array" ref="P59">_xlfn.XLOOKUP(TRUE,ISNUMBER(SEARCH(Sheet2!A$43:A$45,A59)),Sheet2!B$43:B$45,"")</f>
        <v/>
      </c>
      <c r="Q59" s="10"/>
      <c r="R59" s="10"/>
      <c r="S59" s="10">
        <v>9</v>
      </c>
      <c r="T59" s="10"/>
      <c r="U59" s="10"/>
      <c r="V59" s="10"/>
      <c r="W59" s="10"/>
      <c r="X59" s="10"/>
      <c r="Y59" s="10"/>
      <c r="Z59" s="10"/>
      <c r="AA59" s="10"/>
      <c r="AB59" s="10"/>
    </row>
    <row r="60" spans="1:28" ht="15.75" customHeight="1" x14ac:dyDescent="0.15">
      <c r="A60" s="13" t="s">
        <v>88</v>
      </c>
      <c r="B60" s="13" t="s">
        <v>89</v>
      </c>
      <c r="C60" s="12" t="s">
        <v>90</v>
      </c>
      <c r="D60" s="8" t="str">
        <f>CONCATENATE(Sheet2!$C$6, F60/25," Multiple-choice Quizzes |
| Paper Size | A4 Bond Paper |
| File Format | PDF (Typeset in LaTeX) |
| Price | ₱",IF(H60, G60, F60),"|", CHAR(10),CHAR(10),CHAR(10), "---",CHAR(10),CHAR(10), "📥 **I-fill out ang Order Form**",CHAR(10),CHAR(10), "{{&lt; iframe src=""", "https://cityofsmiles.github.io/auto-order-form/?id=", LOWER(A60), """ height=""850"" &gt;}}", CHAR(10), CHAR(10),CHAR(10), L60, CHAR(10), CHAR(10),CHAR(10), Sheet2!$B$6)</f>
        <v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</v>
      </c>
      <c r="E60" s="4"/>
      <c r="F60" s="9">
        <v>150</v>
      </c>
      <c r="G60" s="9"/>
      <c r="H60" s="4" t="b">
        <v>0</v>
      </c>
      <c r="I60" s="5">
        <v>46176</v>
      </c>
      <c r="J60" s="4" t="b">
        <v>0</v>
      </c>
      <c r="K60" s="17">
        <v>46176</v>
      </c>
      <c r="L60" s="4" t="s">
        <v>91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 spans="1:28" ht="15.75" customHeight="1" x14ac:dyDescent="0.15">
      <c r="A61" s="13" t="s">
        <v>92</v>
      </c>
      <c r="B61" s="13" t="s">
        <v>93</v>
      </c>
      <c r="C61" s="28" t="s">
        <v>241</v>
      </c>
      <c r="D61" s="8" t="str">
        <f>CONCATENATE(Sheet2!$C$6, S61," Multiple-choice Quizzes |
| Paper Size | A4 Bond Paper |
| File Format | PDF (Typeset in LaTeX) |
| Price | ₱",IF(H61, G61, F61),"|", CHAR(10), CHAR(10),CHAR(10), L61, CHAR(10),CHAR(10),CHAR(10), "---",CHAR(10),CHAR(10), "📥 **I-fill out ang Order Form**",CHAR(10),CHAR(10), "{{&lt; iframe src=""", "https://cityofsmiles.github.io/auto-order-form/?id=", LOWER(A61), """ height=""850"" &gt;}}", CHAR(10), CHAR(10),CHAR(10),"---
🛒 **Payment Methods**
Mag-send ka lang ng ₱",Sheet1!F61," para sa **", Sheet1!M61,"**.
", Sheet2!$B$6)</f>
        <v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|10 Multiple-choice Quizzes |
| Paper Size | A4 Bond Paper |
| File Format | PDF (Typeset in LaTeX) |
| Price | ₱99|
---
📑 **Topics Covered**
**Quiz 1.01.1: Basic Undefined Terms and Geometric Notation** (35 items)
  - Lesson 1. 1.01.1: Basic Undefined Terms and Geometric Notation
  - Lesson 1. 1.01.2: Constructing Parallel and Perpendicular Lines
**Quiz 1.02.1: Angles Formed by Parallel Lines and a Transversal** (30 items)
  - Lesson 1. 1.02.1: Angles Formed by Parallel Lines and a Transversal
  - Lesson 1. 1.02.2: Solving Angle Measures with Parallel and Perpendicular Lines
**Quiz 1.03.1: Introduction to Relations and Functions** (30 items)
  - Lesson 1. 1.03.1: Introduction to Relations and Functions
  - Lesson 1. 1.03.2: Domain of a Function
  - Lesson 1. 1.03.3: Range of a Function
**Quiz 1.04.1: Representing Relationships as Functions** (30 items)
  - Lesson 1. 1.04.1: Representing Relationships as Functions
  - Lesson 1. 1.04.2: Slope of Linear Functions from Graphs
  - Lesson 1. 1.04.3: Zeros of Linear Functions from Graphs
  - Lesson 1. 1.04.4: Slope of Linear Functions from Equations
  - Lesson 1. 1.04.5: Zeros of Linear Functions from Equations
  - Lesson 1. 1.04.6: Slope of Linear Functions from Tables
  - Lesson 1. 1.04.7: Zeros of Linear Functions from Tables
**Quiz 1.05.1: Graphing Linear Functions: Domain and Range** (35 items)
  - Lesson 1. 1.05.1: Graphing Linear Functions: Domain and Range
  - Lesson 1. 1.05.2: Graphing Linear Function - Intercepts and Slope
  - Lesson 1. 1.05.3: Representing Real-Life Linear Relationships
**Quiz 1.06.1: Solving Problems Involving Linear Functions** (30 items)
  - Lesson 1. 1.06.1: Solving Problems Involving Linear Functions
  - Lesson 1. 1.06.2: Conditions that Guarantee Parallelism
  - Lesson 1. 1.06.3: Conditions that Guarantee Perpendicularity
**Quiz 1.07.1: Classifying Quadrilaterals** (35 items)
  - Lesson 1. 1.07.1: Classifying Quadrilaterals
  - Lesson 1. 1.07.2: Properties of Parallelograms
**Quiz 1.08.1: Finding Lengths in Parallelograms** (30 items)
  - Lesson 1. 1.08.1: Finding Side Lengths in Parallelograms
  - Lesson 1. 1.08.2: Finding Angle Measures in Parallelograms
  - Lesson 1. 1.08.3: Finding Perpendicular Heights in Parallelograms
  - Lesson 1. 1.08.4: Finding Diagonal Measures in Parallelograms
**Quiz 1.09.1: Problem Solving with Parallelograms** (30 items)
  - Lesson 1. 1.09.1: Problem Solving with Parallelograms and Rectangles
  - Lesson 1. 1.09.2: Problem Solving with Squares and Rhombuses
**Quiz 1.10.1: Proving Properties of Parallelograms** (25 items)
  - Lesson 1. 1.10.1: Proving Properties of Parallelograms
---
📥 **I-fill out ang Order Form**
{{&lt; iframe src="https://cityofsmiles.github.io/auto-order-form/?id=g9-t1-mq" height="850" &gt;}}
---
🛒 **Payment Methods**
Mag-send ka lang ng ₱99 para sa **Multiple-choice Quizzes**.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</v>
      </c>
      <c r="E61" s="4"/>
      <c r="F61" s="9">
        <v>99</v>
      </c>
      <c r="G61" s="9">
        <v>89</v>
      </c>
      <c r="H61" s="4" t="b">
        <v>0</v>
      </c>
      <c r="I61" s="5">
        <v>46176</v>
      </c>
      <c r="J61" s="10" t="b">
        <v>1</v>
      </c>
      <c r="K61" s="17">
        <v>46176</v>
      </c>
      <c r="L61" s="24" t="s">
        <v>240</v>
      </c>
      <c r="M61" s="10" t="str" cm="1">
        <f t="array" ref="M61">_xlfn.XLOOKUP(TRUE,ISNUMBER(SEARCH(Sheet2!A$23:A$26,A61)),Sheet2!B$23:B$26,"")</f>
        <v>Multiple-choice Quizzes</v>
      </c>
      <c r="N61" s="10" t="str" cm="1">
        <f t="array" ref="N61">_xlfn.XLOOKUP(TRUE,ISNUMBER(SEARCH(Sheet2!A$30:A$32,A61)),Sheet2!B$30:B$32,"")</f>
        <v>First Term</v>
      </c>
      <c r="O61" s="10" t="str" cm="1">
        <f t="array" ref="O61">_xlfn.XLOOKUP(TRUE,ISNUMBER(SEARCH(Sheet2!A$36:A$39,A61)),Sheet2!B$36:B$39,"")</f>
        <v>Grade 9</v>
      </c>
      <c r="P61" s="10" t="str" cm="1">
        <f t="array" ref="P61">_xlfn.XLOOKUP(TRUE,ISNUMBER(SEARCH(Sheet2!A$43:A$45,A61)),Sheet2!B$43:B$45,"")</f>
        <v/>
      </c>
      <c r="Q61" s="10"/>
      <c r="R61" s="10"/>
      <c r="S61" s="10">
        <v>10</v>
      </c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15.75" customHeight="1" x14ac:dyDescent="0.15">
      <c r="A62" s="13" t="s">
        <v>94</v>
      </c>
      <c r="B62" s="13" t="s">
        <v>95</v>
      </c>
      <c r="C62" s="12" t="s">
        <v>96</v>
      </c>
      <c r="D62" s="8" t="str">
        <f>CONCATENATE(Sheet2!$C$6, F62/25," Multiple-choice Quizzes |
| Paper Size | A4 Bond Paper |
| File Format | PDF (Typeset in LaTeX) |
| Price | ₱",IF(H62, G62, F62),"|", CHAR(10),CHAR(10),CHAR(10), "---",CHAR(10),CHAR(10), "📥 **I-fill out ang Order Form**",CHAR(10),CHAR(10), "{{&lt; iframe src=""", "https://cityofsmiles.github.io/auto-order-form/?id=", LOWER(A62), """ height=""850"" &gt;}}", CHAR(10), CHAR(10),CHAR(10), L62, CHAR(10), CHAR(10),CHAR(10), Sheet2!$B$6)</f>
        <v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</v>
      </c>
      <c r="E62" s="4"/>
      <c r="F62" s="9">
        <v>100</v>
      </c>
      <c r="G62" s="9"/>
      <c r="H62" s="4" t="b">
        <v>0</v>
      </c>
      <c r="I62" s="5">
        <v>46176</v>
      </c>
      <c r="J62" s="4" t="b">
        <v>0</v>
      </c>
      <c r="K62" s="17">
        <v>46176</v>
      </c>
      <c r="L62" s="4" t="s">
        <v>97</v>
      </c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</row>
    <row r="63" spans="1:28" ht="12.75" x14ac:dyDescent="0.15">
      <c r="F63" s="19"/>
      <c r="G63" s="19"/>
    </row>
    <row r="64" spans="1:28" ht="15.75" customHeight="1" x14ac:dyDescent="0.15">
      <c r="A64" s="11" t="s">
        <v>98</v>
      </c>
      <c r="B64" s="11" t="s">
        <v>99</v>
      </c>
      <c r="C64" s="16" t="s">
        <v>100</v>
      </c>
      <c r="D6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9">
        <v>120</v>
      </c>
      <c r="G64" s="9">
        <v>84</v>
      </c>
      <c r="H64" s="4" t="b">
        <v>0</v>
      </c>
      <c r="I64" s="5">
        <v>46176</v>
      </c>
      <c r="J64" s="4" t="b">
        <v>0</v>
      </c>
      <c r="K64" s="17">
        <v>46176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15.75" customHeight="1" x14ac:dyDescent="0.15">
      <c r="A65" s="11" t="s">
        <v>98</v>
      </c>
      <c r="B65" s="13" t="s">
        <v>101</v>
      </c>
      <c r="C65" s="14" t="s">
        <v>100</v>
      </c>
      <c r="D6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165</v>
      </c>
      <c r="G65" s="15">
        <v>115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98</v>
      </c>
      <c r="B66" s="13" t="s">
        <v>102</v>
      </c>
      <c r="C66" s="14" t="s">
        <v>100</v>
      </c>
      <c r="D6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15">
        <v>350</v>
      </c>
      <c r="G66" s="15">
        <v>245</v>
      </c>
      <c r="H66" s="4" t="b">
        <v>0</v>
      </c>
      <c r="I66" s="5">
        <v>46176</v>
      </c>
      <c r="J66" s="4" t="b">
        <v>0</v>
      </c>
      <c r="K66" s="17">
        <v>46176</v>
      </c>
    </row>
    <row r="67" spans="1:28" ht="15.75" customHeight="1" x14ac:dyDescent="0.15">
      <c r="A67" s="11" t="s">
        <v>98</v>
      </c>
      <c r="B67" s="13" t="s">
        <v>103</v>
      </c>
      <c r="C67" s="16" t="s">
        <v>104</v>
      </c>
      <c r="D6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9">
        <v>120</v>
      </c>
      <c r="G67" s="9">
        <v>84</v>
      </c>
      <c r="H67" s="4" t="b">
        <v>0</v>
      </c>
      <c r="I67" s="5">
        <v>46176</v>
      </c>
      <c r="J67" s="4" t="b">
        <v>0</v>
      </c>
      <c r="K67" s="17">
        <v>46176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15.75" customHeight="1" x14ac:dyDescent="0.15">
      <c r="A68" s="11" t="s">
        <v>98</v>
      </c>
      <c r="B68" s="13" t="s">
        <v>105</v>
      </c>
      <c r="C68" s="14" t="s">
        <v>104</v>
      </c>
      <c r="D6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165</v>
      </c>
      <c r="G68" s="15">
        <v>115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98</v>
      </c>
      <c r="B69" s="13" t="s">
        <v>106</v>
      </c>
      <c r="C69" s="14" t="s">
        <v>104</v>
      </c>
      <c r="D6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15">
        <v>350</v>
      </c>
      <c r="G69" s="15">
        <v>245</v>
      </c>
      <c r="H69" s="4" t="b">
        <v>0</v>
      </c>
      <c r="I69" s="5">
        <v>46176</v>
      </c>
      <c r="J69" s="4" t="b">
        <v>0</v>
      </c>
      <c r="K69" s="17">
        <v>46176</v>
      </c>
    </row>
    <row r="70" spans="1:28" ht="15.75" customHeight="1" x14ac:dyDescent="0.15">
      <c r="A70" s="11" t="s">
        <v>98</v>
      </c>
      <c r="B70" s="13" t="s">
        <v>107</v>
      </c>
      <c r="C70" s="16" t="s">
        <v>108</v>
      </c>
      <c r="D7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9">
        <v>120</v>
      </c>
      <c r="G70" s="9">
        <v>84</v>
      </c>
      <c r="H70" s="4" t="b">
        <v>0</v>
      </c>
      <c r="I70" s="5">
        <v>46176</v>
      </c>
      <c r="J70" s="4" t="b">
        <v>0</v>
      </c>
      <c r="K70" s="17">
        <v>46176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15.75" customHeight="1" x14ac:dyDescent="0.15">
      <c r="A71" s="11" t="s">
        <v>98</v>
      </c>
      <c r="B71" s="13" t="s">
        <v>109</v>
      </c>
      <c r="C71" s="14" t="s">
        <v>108</v>
      </c>
      <c r="D7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165</v>
      </c>
      <c r="G71" s="15">
        <v>115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98</v>
      </c>
      <c r="B72" s="13" t="s">
        <v>110</v>
      </c>
      <c r="C72" s="14" t="s">
        <v>108</v>
      </c>
      <c r="D7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15">
        <v>350</v>
      </c>
      <c r="G72" s="15">
        <v>245</v>
      </c>
      <c r="H72" s="4" t="b">
        <v>0</v>
      </c>
      <c r="I72" s="5">
        <v>46176</v>
      </c>
      <c r="J72" s="4" t="b">
        <v>0</v>
      </c>
      <c r="K72" s="17">
        <v>46176</v>
      </c>
    </row>
    <row r="73" spans="1:28" ht="15.75" customHeight="1" x14ac:dyDescent="0.15">
      <c r="A73" s="11" t="s">
        <v>98</v>
      </c>
      <c r="B73" s="13" t="s">
        <v>111</v>
      </c>
      <c r="C73" s="16" t="s">
        <v>112</v>
      </c>
      <c r="D7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9">
        <v>120</v>
      </c>
      <c r="G73" s="9">
        <v>84</v>
      </c>
      <c r="H73" s="4" t="b">
        <v>0</v>
      </c>
      <c r="I73" s="5">
        <v>46176</v>
      </c>
      <c r="J73" s="4" t="b">
        <v>0</v>
      </c>
      <c r="K73" s="17">
        <v>46176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15.75" customHeight="1" x14ac:dyDescent="0.15">
      <c r="A74" s="11" t="s">
        <v>98</v>
      </c>
      <c r="B74" s="13" t="s">
        <v>113</v>
      </c>
      <c r="C74" s="14" t="s">
        <v>112</v>
      </c>
      <c r="D7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165</v>
      </c>
      <c r="G74" s="15">
        <v>115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1" t="s">
        <v>98</v>
      </c>
      <c r="B75" s="13" t="s">
        <v>114</v>
      </c>
      <c r="C75" s="14" t="s">
        <v>112</v>
      </c>
      <c r="D7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15">
        <v>350</v>
      </c>
      <c r="G75" s="15">
        <v>245</v>
      </c>
      <c r="H75" s="4" t="b">
        <v>0</v>
      </c>
      <c r="I75" s="5">
        <v>46176</v>
      </c>
      <c r="J75" s="4" t="b">
        <v>0</v>
      </c>
      <c r="K75" s="17">
        <v>46176</v>
      </c>
    </row>
    <row r="76" spans="1:28" ht="15.75" customHeight="1" x14ac:dyDescent="0.15">
      <c r="A76" s="11" t="s">
        <v>98</v>
      </c>
      <c r="B76" s="13" t="s">
        <v>115</v>
      </c>
      <c r="C76" s="16" t="s">
        <v>116</v>
      </c>
      <c r="D7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9">
        <v>120</v>
      </c>
      <c r="G76" s="9">
        <v>84</v>
      </c>
      <c r="H76" s="4" t="b">
        <v>0</v>
      </c>
      <c r="I76" s="5">
        <v>46176</v>
      </c>
      <c r="J76" s="4" t="b">
        <v>0</v>
      </c>
      <c r="K76" s="17">
        <v>46176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15.75" customHeight="1" x14ac:dyDescent="0.15">
      <c r="A77" s="11" t="s">
        <v>98</v>
      </c>
      <c r="B77" s="13" t="s">
        <v>117</v>
      </c>
      <c r="C77" s="14" t="s">
        <v>116</v>
      </c>
      <c r="D7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165</v>
      </c>
      <c r="G77" s="15">
        <v>115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1" t="s">
        <v>98</v>
      </c>
      <c r="B78" s="13" t="s">
        <v>118</v>
      </c>
      <c r="C78" s="14" t="s">
        <v>116</v>
      </c>
      <c r="D7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15">
        <v>350</v>
      </c>
      <c r="G78" s="15">
        <v>245</v>
      </c>
      <c r="H78" s="4" t="b">
        <v>0</v>
      </c>
      <c r="I78" s="5">
        <v>46176</v>
      </c>
      <c r="J78" s="4" t="b">
        <v>0</v>
      </c>
      <c r="K78" s="17">
        <v>46176</v>
      </c>
    </row>
    <row r="79" spans="1:28" ht="15.75" customHeight="1" x14ac:dyDescent="0.15">
      <c r="A79" s="13" t="s">
        <v>205</v>
      </c>
      <c r="B79" s="13" t="s">
        <v>119</v>
      </c>
      <c r="C79" s="16" t="s">
        <v>120</v>
      </c>
      <c r="D7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9">
        <v>120</v>
      </c>
      <c r="G79" s="9">
        <v>84</v>
      </c>
      <c r="H79" s="4" t="b">
        <v>0</v>
      </c>
      <c r="I79" s="5">
        <v>46176</v>
      </c>
      <c r="J79" s="4" t="b">
        <v>0</v>
      </c>
      <c r="K79" s="17">
        <v>46176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15.75" customHeight="1" x14ac:dyDescent="0.15">
      <c r="A80" s="13" t="s">
        <v>206</v>
      </c>
      <c r="B80" s="13" t="s">
        <v>121</v>
      </c>
      <c r="C80" s="14" t="s">
        <v>120</v>
      </c>
      <c r="D8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165</v>
      </c>
      <c r="G80" s="15">
        <v>115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28" ht="15.75" customHeight="1" x14ac:dyDescent="0.15">
      <c r="A81" s="13" t="s">
        <v>260</v>
      </c>
      <c r="B81" s="13" t="s">
        <v>122</v>
      </c>
      <c r="C81" s="14" t="s">
        <v>120</v>
      </c>
      <c r="D8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15">
        <v>350</v>
      </c>
      <c r="G81" s="15">
        <v>245</v>
      </c>
      <c r="H81" s="4" t="b">
        <v>0</v>
      </c>
      <c r="I81" s="5">
        <v>46176</v>
      </c>
      <c r="J81" s="4" t="b">
        <v>0</v>
      </c>
      <c r="K81" s="17">
        <v>46176</v>
      </c>
    </row>
    <row r="82" spans="1:28" ht="15.75" customHeight="1" x14ac:dyDescent="0.15">
      <c r="A82" s="13" t="s">
        <v>207</v>
      </c>
      <c r="B82" s="13" t="s">
        <v>123</v>
      </c>
      <c r="C82" s="16" t="s">
        <v>124</v>
      </c>
      <c r="D8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2" s="9">
        <v>120</v>
      </c>
      <c r="G82" s="9">
        <v>84</v>
      </c>
      <c r="H82" s="4" t="b">
        <v>0</v>
      </c>
      <c r="I82" s="5">
        <v>46176</v>
      </c>
      <c r="J82" s="4" t="b">
        <v>0</v>
      </c>
      <c r="K82" s="17">
        <v>46176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 spans="1:28" ht="15.75" customHeight="1" x14ac:dyDescent="0.15">
      <c r="A83" s="13" t="s">
        <v>208</v>
      </c>
      <c r="B83" s="13" t="s">
        <v>125</v>
      </c>
      <c r="C83" s="14" t="s">
        <v>124</v>
      </c>
      <c r="D8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3" s="15">
        <v>165</v>
      </c>
      <c r="G83" s="15">
        <v>115</v>
      </c>
      <c r="H83" s="4" t="b">
        <v>0</v>
      </c>
      <c r="I83" s="5">
        <v>46176</v>
      </c>
      <c r="J83" s="4" t="b">
        <v>0</v>
      </c>
      <c r="K83" s="17">
        <v>46176</v>
      </c>
    </row>
    <row r="84" spans="1:28" ht="15.75" customHeight="1" x14ac:dyDescent="0.15">
      <c r="A84" s="13" t="s">
        <v>261</v>
      </c>
      <c r="B84" s="13" t="s">
        <v>126</v>
      </c>
      <c r="C84" s="14" t="s">
        <v>124</v>
      </c>
      <c r="D8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4" s="15">
        <v>350</v>
      </c>
      <c r="G84" s="15">
        <v>245</v>
      </c>
      <c r="H84" s="4" t="b">
        <v>0</v>
      </c>
      <c r="I84" s="5">
        <v>46176</v>
      </c>
      <c r="J84" s="4" t="b">
        <v>0</v>
      </c>
      <c r="K84" s="17">
        <v>46176</v>
      </c>
    </row>
    <row r="85" spans="1:28" ht="15.75" customHeight="1" x14ac:dyDescent="0.15">
      <c r="A85" s="13" t="s">
        <v>209</v>
      </c>
      <c r="B85" s="13" t="s">
        <v>127</v>
      </c>
      <c r="C85" s="18" t="s">
        <v>128</v>
      </c>
      <c r="D8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5" s="9">
        <v>120</v>
      </c>
      <c r="G85" s="9">
        <v>84</v>
      </c>
      <c r="H85" s="4" t="b">
        <v>0</v>
      </c>
      <c r="I85" s="5">
        <v>46176</v>
      </c>
      <c r="J85" s="4" t="b">
        <v>0</v>
      </c>
      <c r="K85" s="17">
        <v>46176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</row>
    <row r="86" spans="1:28" ht="15.75" customHeight="1" x14ac:dyDescent="0.15">
      <c r="A86" s="13" t="s">
        <v>210</v>
      </c>
      <c r="B86" s="13" t="s">
        <v>129</v>
      </c>
      <c r="C86" s="18" t="s">
        <v>128</v>
      </c>
      <c r="D8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6" s="15">
        <v>165</v>
      </c>
      <c r="G86" s="15">
        <v>115</v>
      </c>
      <c r="H86" s="4" t="b">
        <v>0</v>
      </c>
      <c r="I86" s="5">
        <v>46176</v>
      </c>
      <c r="J86" s="4" t="b">
        <v>0</v>
      </c>
      <c r="K86" s="17">
        <v>46176</v>
      </c>
    </row>
    <row r="87" spans="1:28" ht="15.75" customHeight="1" x14ac:dyDescent="0.15">
      <c r="A87" s="13" t="s">
        <v>262</v>
      </c>
      <c r="B87" s="13" t="s">
        <v>130</v>
      </c>
      <c r="C87" s="18" t="s">
        <v>128</v>
      </c>
      <c r="D8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7" s="15">
        <v>350</v>
      </c>
      <c r="G87" s="15">
        <v>245</v>
      </c>
      <c r="H87" s="4" t="b">
        <v>0</v>
      </c>
      <c r="I87" s="5">
        <v>46176</v>
      </c>
      <c r="J87" s="4" t="b">
        <v>0</v>
      </c>
      <c r="K87" s="17">
        <v>46176</v>
      </c>
    </row>
    <row r="88" spans="1:28" ht="12.75" x14ac:dyDescent="0.15">
      <c r="F88" s="19"/>
      <c r="G88" s="19"/>
    </row>
    <row r="89" spans="1:28" ht="12.75" x14ac:dyDescent="0.15">
      <c r="F89" s="19"/>
      <c r="G89" s="19"/>
    </row>
    <row r="90" spans="1:28" ht="12.75" x14ac:dyDescent="0.15">
      <c r="F90" s="19"/>
      <c r="G90" s="19"/>
    </row>
    <row r="91" spans="1:28" ht="12.75" x14ac:dyDescent="0.15">
      <c r="F91" s="19"/>
      <c r="G91" s="19"/>
    </row>
    <row r="92" spans="1:28" ht="12.75" x14ac:dyDescent="0.15">
      <c r="F92" s="19"/>
      <c r="G92" s="19"/>
    </row>
    <row r="93" spans="1:28" ht="12.75" x14ac:dyDescent="0.15">
      <c r="F93" s="19"/>
      <c r="G93" s="19"/>
    </row>
    <row r="94" spans="1:28" ht="12.75" x14ac:dyDescent="0.15">
      <c r="F94" s="19"/>
      <c r="G94" s="19"/>
    </row>
    <row r="95" spans="1:28" ht="12.75" x14ac:dyDescent="0.15">
      <c r="F95" s="19"/>
      <c r="G95" s="19"/>
    </row>
    <row r="96" spans="1:28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  <row r="983" spans="6:7" ht="12.75" x14ac:dyDescent="0.15">
      <c r="F983" s="19"/>
      <c r="G983" s="19"/>
    </row>
    <row r="984" spans="6:7" ht="12.75" x14ac:dyDescent="0.15">
      <c r="F984" s="19"/>
      <c r="G984" s="19"/>
    </row>
    <row r="985" spans="6:7" ht="12.75" x14ac:dyDescent="0.15">
      <c r="F985" s="19"/>
      <c r="G985" s="19"/>
    </row>
    <row r="986" spans="6:7" ht="12.75" x14ac:dyDescent="0.15">
      <c r="F986" s="19"/>
      <c r="G986" s="19"/>
    </row>
    <row r="987" spans="6:7" ht="12.75" x14ac:dyDescent="0.15">
      <c r="F987" s="19"/>
      <c r="G987" s="19"/>
    </row>
    <row r="988" spans="6:7" ht="12.75" x14ac:dyDescent="0.15">
      <c r="F988" s="19"/>
      <c r="G988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44" r:id="rId26" xr:uid="{00000000-0004-0000-0000-00003F000000}"/>
    <hyperlink ref="C45" r:id="rId27" xr:uid="{00000000-0004-0000-0000-000040000000}"/>
    <hyperlink ref="C46" r:id="rId28" xr:uid="{00000000-0004-0000-0000-000041000000}"/>
    <hyperlink ref="C47" r:id="rId29" xr:uid="{00000000-0004-0000-0000-000042000000}"/>
    <hyperlink ref="C48" r:id="rId30" xr:uid="{00000000-0004-0000-0000-000043000000}"/>
    <hyperlink ref="C49" r:id="rId31" xr:uid="{00000000-0004-0000-0000-000044000000}"/>
    <hyperlink ref="C53" r:id="rId32" xr:uid="{00000000-0004-0000-0000-000045000000}"/>
    <hyperlink ref="C54" r:id="rId33" xr:uid="{00000000-0004-0000-0000-000046000000}"/>
    <hyperlink ref="C55" r:id="rId34" xr:uid="{00000000-0004-0000-0000-000047000000}"/>
    <hyperlink ref="C56" r:id="rId35" xr:uid="{00000000-0004-0000-0000-000048000000}"/>
    <hyperlink ref="C57" r:id="rId36" xr:uid="{00000000-0004-0000-0000-000049000000}"/>
    <hyperlink ref="C58" r:id="rId37" xr:uid="{00000000-0004-0000-0000-00004A000000}"/>
    <hyperlink ref="C59" r:id="rId38" xr:uid="{00000000-0004-0000-0000-00004B000000}"/>
    <hyperlink ref="C60" r:id="rId39" xr:uid="{00000000-0004-0000-0000-00004C000000}"/>
    <hyperlink ref="C62" r:id="rId40" xr:uid="{00000000-0004-0000-0000-00004E000000}"/>
    <hyperlink ref="C64" r:id="rId41" xr:uid="{00000000-0004-0000-0000-00004F000000}"/>
    <hyperlink ref="C65" r:id="rId42" xr:uid="{00000000-0004-0000-0000-000050000000}"/>
    <hyperlink ref="C66" r:id="rId43" xr:uid="{00000000-0004-0000-0000-000051000000}"/>
    <hyperlink ref="C67" r:id="rId44" xr:uid="{00000000-0004-0000-0000-000052000000}"/>
    <hyperlink ref="C68" r:id="rId45" xr:uid="{00000000-0004-0000-0000-000053000000}"/>
    <hyperlink ref="C69" r:id="rId46" xr:uid="{00000000-0004-0000-0000-000054000000}"/>
    <hyperlink ref="C70" r:id="rId47" xr:uid="{00000000-0004-0000-0000-000055000000}"/>
    <hyperlink ref="C71" r:id="rId48" xr:uid="{00000000-0004-0000-0000-000056000000}"/>
    <hyperlink ref="C72" r:id="rId49" xr:uid="{00000000-0004-0000-0000-000057000000}"/>
    <hyperlink ref="C73" r:id="rId50" xr:uid="{00000000-0004-0000-0000-000058000000}"/>
    <hyperlink ref="C74" r:id="rId51" xr:uid="{00000000-0004-0000-0000-000059000000}"/>
    <hyperlink ref="C75" r:id="rId52" xr:uid="{00000000-0004-0000-0000-00005A000000}"/>
    <hyperlink ref="C76" r:id="rId53" xr:uid="{00000000-0004-0000-0000-00005B000000}"/>
    <hyperlink ref="C77" r:id="rId54" xr:uid="{00000000-0004-0000-0000-00005C000000}"/>
    <hyperlink ref="C78" r:id="rId55" xr:uid="{00000000-0004-0000-0000-00005D000000}"/>
    <hyperlink ref="C79" r:id="rId56" xr:uid="{00000000-0004-0000-0000-00005E000000}"/>
    <hyperlink ref="C80" r:id="rId57" xr:uid="{00000000-0004-0000-0000-00005F000000}"/>
    <hyperlink ref="C81" r:id="rId58" xr:uid="{00000000-0004-0000-0000-000060000000}"/>
    <hyperlink ref="C82" r:id="rId59" xr:uid="{00000000-0004-0000-0000-000061000000}"/>
    <hyperlink ref="C83" r:id="rId60" xr:uid="{00000000-0004-0000-0000-000062000000}"/>
    <hyperlink ref="C84" r:id="rId61" xr:uid="{00000000-0004-0000-0000-000063000000}"/>
    <hyperlink ref="C85" r:id="rId62" xr:uid="{00000000-0004-0000-0000-000064000000}"/>
    <hyperlink ref="C86" r:id="rId63" xr:uid="{00000000-0004-0000-0000-000065000000}"/>
    <hyperlink ref="C87" r:id="rId64" xr:uid="{00000000-0004-0000-0000-000066000000}"/>
    <hyperlink ref="C34" r:id="rId65" xr:uid="{C3D8895E-36F9-C446-9032-98D1DBA560B2}"/>
    <hyperlink ref="C40" r:id="rId66" xr:uid="{01D04C71-5B69-CD49-B99C-9F3396BA5C94}"/>
    <hyperlink ref="C43" r:id="rId67" xr:uid="{993E0396-71F4-7543-B9D1-2323DD4B1A4A}"/>
    <hyperlink ref="C61" r:id="rId68" xr:uid="{74D92F56-9F4B-D94E-B07F-70DC18555F3F}"/>
    <hyperlink ref="C32" r:id="rId69" xr:uid="{6117C927-2422-A647-A376-30E6E68FCE95}"/>
    <hyperlink ref="C38" r:id="rId70" xr:uid="{443F0D7B-AB73-DB4E-BCE7-81C6555F559E}"/>
    <hyperlink ref="C41" r:id="rId71" xr:uid="{5704C940-F1D5-2544-BE71-99F3BDF45585}"/>
    <hyperlink ref="C33" r:id="rId72" xr:uid="{ACAEF9A9-13E1-0348-A343-96345D8C6AFB}"/>
    <hyperlink ref="C39" r:id="rId73" xr:uid="{B735B44B-B3F5-DE4A-9AFF-2EF89CC2A64F}"/>
    <hyperlink ref="C42" r:id="rId74" xr:uid="{05A86DD3-ECAD-9D47-B04E-240F29894DD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45"/>
  <sheetViews>
    <sheetView topLeftCell="D1" workbookViewId="0">
      <selection activeCell="G10" sqref="G10"/>
    </sheetView>
  </sheetViews>
  <sheetFormatPr defaultColWidth="12.67578125" defaultRowHeight="15.75" customHeight="1" x14ac:dyDescent="0.15"/>
  <sheetData>
    <row r="1" spans="1:10" ht="12.75" x14ac:dyDescent="0.15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</row>
    <row r="2" spans="1:10" ht="59.25" customHeight="1" x14ac:dyDescent="0.15">
      <c r="A2" s="1" t="s">
        <v>137</v>
      </c>
      <c r="B2" s="1" t="s">
        <v>138</v>
      </c>
      <c r="C2" s="1" t="s">
        <v>139</v>
      </c>
      <c r="D2" s="1" t="s">
        <v>140</v>
      </c>
      <c r="E2" s="1" t="s">
        <v>141</v>
      </c>
      <c r="F2" s="1" t="s">
        <v>142</v>
      </c>
    </row>
    <row r="5" spans="1:10" ht="12.75" x14ac:dyDescent="0.15">
      <c r="A5" s="1" t="s">
        <v>143</v>
      </c>
      <c r="B5" s="1" t="s">
        <v>144</v>
      </c>
      <c r="C5" s="1" t="s">
        <v>145</v>
      </c>
      <c r="D5" s="1" t="s">
        <v>146</v>
      </c>
    </row>
    <row r="6" spans="1:10" ht="16.5" customHeight="1" x14ac:dyDescent="0.15">
      <c r="A6" s="1" t="s">
        <v>147</v>
      </c>
      <c r="B6" s="24" t="s">
        <v>239</v>
      </c>
      <c r="C6" s="24" t="s">
        <v>177</v>
      </c>
      <c r="D6" s="24" t="str">
        <f>CONCATENATE("
---
Salamat sa pagsuporta sa **TeXMathPro, KasaMath**! Kung may tanong o suggestion ka, [kontakin mo lang ako](mailto:texmathpro@gmail.com).")</f>
        <v xml:space="preserve">
---
Salamat sa pagsuporta sa **TeXMathPro, KasaMath**! Kung may tanong o suggestion ka, [kontakin mo lang ako](mailto:texmathpro@gmail.com).</v>
      </c>
    </row>
    <row r="9" spans="1:10" ht="12.75" x14ac:dyDescent="0.15">
      <c r="B9" s="1" t="s">
        <v>148</v>
      </c>
      <c r="C9" s="1" t="s">
        <v>149</v>
      </c>
      <c r="D9" s="1" t="s">
        <v>150</v>
      </c>
      <c r="E9" s="1" t="s">
        <v>151</v>
      </c>
      <c r="F9" s="1" t="s">
        <v>152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153</v>
      </c>
      <c r="B10" s="3" t="s">
        <v>154</v>
      </c>
      <c r="C10" s="3" t="s">
        <v>155</v>
      </c>
      <c r="D10" s="3" t="s">
        <v>156</v>
      </c>
      <c r="E10" s="3" t="s">
        <v>157</v>
      </c>
      <c r="F10" s="1" t="b">
        <v>1</v>
      </c>
      <c r="G10" s="21" t="str">
        <f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0">IF(H$9,IF($F10, CONCATENATE("- [", C$9, " Handouts for the ",$A10, "](", C10, ")"), ""),"")</f>
        <v/>
      </c>
      <c r="I10" s="21" t="str">
        <f t="shared" ref="I10:I12" si="1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2">IF(H$9,IF($F10, CONCATENATE("- [", E$9, " Handouts for the ",$A10, "](", E10, ")"), ""),"")</f>
        <v/>
      </c>
    </row>
    <row r="11" spans="1:10" ht="12.75" x14ac:dyDescent="0.15">
      <c r="A11" s="1" t="s">
        <v>158</v>
      </c>
      <c r="B11" s="3" t="s">
        <v>159</v>
      </c>
      <c r="C11" s="3" t="s">
        <v>160</v>
      </c>
      <c r="D11" s="3" t="s">
        <v>161</v>
      </c>
      <c r="E11" s="3" t="s">
        <v>162</v>
      </c>
      <c r="F11" s="1" t="b">
        <v>0</v>
      </c>
      <c r="G11" s="21" t="str">
        <f t="shared" ref="G10:G13" si="3">IF($F11, CONCATENATE("- [", B$9, " Handouts for the ",$A11, "](", B11, ")"), "")</f>
        <v/>
      </c>
      <c r="H11" s="21" t="str">
        <f t="shared" si="0"/>
        <v/>
      </c>
      <c r="I11" s="21" t="str">
        <f t="shared" si="1"/>
        <v/>
      </c>
      <c r="J11" s="21" t="str">
        <f t="shared" si="2"/>
        <v/>
      </c>
    </row>
    <row r="12" spans="1:10" ht="12.75" x14ac:dyDescent="0.15">
      <c r="A12" s="1" t="s">
        <v>163</v>
      </c>
      <c r="B12" s="3" t="s">
        <v>164</v>
      </c>
      <c r="C12" s="3" t="s">
        <v>165</v>
      </c>
      <c r="D12" s="3" t="s">
        <v>166</v>
      </c>
      <c r="E12" s="3" t="s">
        <v>167</v>
      </c>
      <c r="F12" s="1" t="b">
        <v>0</v>
      </c>
      <c r="G12" s="21" t="str">
        <f t="shared" si="3"/>
        <v/>
      </c>
      <c r="H12" s="21" t="str">
        <f t="shared" si="0"/>
        <v/>
      </c>
      <c r="I12" s="21" t="str">
        <f t="shared" si="1"/>
        <v/>
      </c>
      <c r="J12" s="21" t="str">
        <f t="shared" si="2"/>
        <v/>
      </c>
    </row>
    <row r="13" spans="1:10" ht="12.75" x14ac:dyDescent="0.15">
      <c r="A13" s="1" t="s">
        <v>168</v>
      </c>
      <c r="B13" s="3" t="s">
        <v>169</v>
      </c>
      <c r="C13" s="3" t="s">
        <v>170</v>
      </c>
      <c r="D13" s="3" t="s">
        <v>171</v>
      </c>
      <c r="E13" s="3" t="s">
        <v>172</v>
      </c>
      <c r="F13" s="1" t="b">
        <v>0</v>
      </c>
      <c r="G13" s="21" t="str">
        <f t="shared" si="3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131</v>
      </c>
      <c r="B16" s="1" t="s">
        <v>132</v>
      </c>
      <c r="C16" s="1" t="s">
        <v>133</v>
      </c>
      <c r="D16" s="1" t="s">
        <v>134</v>
      </c>
      <c r="E16" s="1" t="s">
        <v>135</v>
      </c>
      <c r="F16" s="1" t="s">
        <v>136</v>
      </c>
    </row>
    <row r="17" spans="1:6" ht="33" customHeight="1" x14ac:dyDescent="0.15">
      <c r="A17" s="1" t="s">
        <v>137</v>
      </c>
      <c r="B17" s="1" t="s">
        <v>138</v>
      </c>
      <c r="C17" s="1" t="s">
        <v>139</v>
      </c>
      <c r="D17" s="10" t="str">
        <f>CONCATENATE(_xlfn._LONGTEXT("- Makakatipid ka sa oras kaya makakapaghabol pa ng lessons.  
- Maganda at consistent ang formatting ng test questions at figures.  
- Ready na ang answer key kaya mas madali at mabilis ang pagche-check.  
- Ready-to-print exam: sakto sa Budget of Work an","g covered topics  
- Number of days: "))</f>
        <v xml:space="preserve">- Makakatipid ka sa oras kaya makakapaghabol pa ng lessons.  
- Maganda at consistent ang formatting ng test questions at figures.  
- Ready na ang answer key kaya mas madali at mabilis ang pagche-check.  
- Ready-to-print exam: sakto sa Budget of Work ang covered topics  
- Number of days: </v>
      </c>
      <c r="E17" s="24" t="str">
        <f>CONCATENATE(_xlfn._LONGTEXT("- Makakatipid ka sa oras kaya makakapaghabol pa ng lessons.  
- Maganda at consistent ang formatting ng test questions at figures.  
- Ready na ang answer key kaya mas madali at mabilis ang pagche-check.  
- Ready-to-print exam: sakto sa Budget of Work an","g covered topics  
- Maaga kang makakapag-submit ng TOS sa head mo.  
- Table of Specifications using the 21st Century format
- Number of days: "))</f>
        <v xml:space="preserve">- Makakatipid ka sa oras kaya makakapaghabol pa ng lessons.  
- Maganda at consistent ang formatting ng test questions at figures.  
- Ready na ang answer key kaya mas madali at mabilis ang pagche-check.  
- Ready-to-print exam: sakto sa Budget of Work ang covered topics  
- Maaga kang makakapag-submit ng TOS sa head mo.  
- Table of Specifications using the 21st Century format
- Number of days: </v>
      </c>
      <c r="F17" s="10" t="str">
        <f>CONCATENATE(_xlfn._LONGTEXT("- Makakatipid ka sa oras kaya makakapaghabol pa ng lessons.  
- Maganda at consistent ang formatting ng test questions at figures.  
- Ready na ang answer key kaya mas madali at mabilis ang pagche-check. 
- Fully customizable exam: kahit anong topic ang p","wedeng covered
- Maaga kang makakapag-submit ng TOS sa head mo.  
- Table of Specifications using the 21st Century format
- Number of days: pwede kahit ilan
- Number of items: kahit ilan basta maximum of 50"))</f>
        <v>- Makakatipid ka sa oras kaya makakapaghabol pa ng lessons.  
- Maganda at consistent ang formatting ng test questions at figures.  
- Ready na ang answer key kaya mas madali at mabilis ang pagche-check. 
- Fully customizable exam: kahit anong topic ang pwedeng covered
- Maaga kang makakapag-submit ng TOS sa head mo.  
- Table of Specifications using the 21st Century format
- Number of days: pwede kahit ilan
- Number of items: kahit ilan basta maximum of 50</v>
      </c>
    </row>
    <row r="18" spans="1:6" ht="15.75" customHeight="1" x14ac:dyDescent="0.15">
      <c r="D18" s="10"/>
      <c r="F18" s="10"/>
    </row>
    <row r="19" spans="1:6" ht="15.75" customHeight="1" x14ac:dyDescent="0.15">
      <c r="D19" s="27"/>
    </row>
    <row r="22" spans="1:6" ht="15.75" customHeight="1" x14ac:dyDescent="0.15">
      <c r="A22" t="s">
        <v>182</v>
      </c>
      <c r="B22" t="s">
        <v>183</v>
      </c>
    </row>
    <row r="23" spans="1:6" ht="15.75" customHeight="1" x14ac:dyDescent="0.15">
      <c r="A23" t="s">
        <v>181</v>
      </c>
      <c r="B23" t="s">
        <v>186</v>
      </c>
    </row>
    <row r="24" spans="1:6" ht="15.75" customHeight="1" x14ac:dyDescent="0.15">
      <c r="A24" t="s">
        <v>184</v>
      </c>
      <c r="B24" t="s">
        <v>188</v>
      </c>
    </row>
    <row r="25" spans="1:6" ht="15.75" customHeight="1" x14ac:dyDescent="0.15">
      <c r="A25" t="s">
        <v>185</v>
      </c>
      <c r="B25" t="s">
        <v>187</v>
      </c>
    </row>
    <row r="26" spans="1:6" ht="15.75" customHeight="1" x14ac:dyDescent="0.15">
      <c r="A26" t="s">
        <v>211</v>
      </c>
      <c r="B26" t="s">
        <v>212</v>
      </c>
    </row>
    <row r="29" spans="1:6" ht="15.75" customHeight="1" x14ac:dyDescent="0.15">
      <c r="A29" t="s">
        <v>182</v>
      </c>
      <c r="B29" t="s">
        <v>213</v>
      </c>
    </row>
    <row r="30" spans="1:6" ht="15.75" customHeight="1" x14ac:dyDescent="0.15">
      <c r="A30" t="s">
        <v>214</v>
      </c>
      <c r="B30" t="s">
        <v>217</v>
      </c>
    </row>
    <row r="31" spans="1:6" ht="15.75" customHeight="1" x14ac:dyDescent="0.15">
      <c r="A31" t="s">
        <v>215</v>
      </c>
      <c r="B31" t="s">
        <v>218</v>
      </c>
    </row>
    <row r="32" spans="1:6" ht="15.75" customHeight="1" x14ac:dyDescent="0.15">
      <c r="A32" t="s">
        <v>216</v>
      </c>
      <c r="B32" t="s">
        <v>219</v>
      </c>
    </row>
    <row r="35" spans="1:2" ht="15.75" customHeight="1" x14ac:dyDescent="0.15">
      <c r="A35" t="s">
        <v>182</v>
      </c>
      <c r="B35" t="s">
        <v>220</v>
      </c>
    </row>
    <row r="36" spans="1:2" ht="15.75" customHeight="1" x14ac:dyDescent="0.15">
      <c r="A36" t="s">
        <v>221</v>
      </c>
      <c r="B36" t="s">
        <v>148</v>
      </c>
    </row>
    <row r="37" spans="1:2" ht="15.75" customHeight="1" x14ac:dyDescent="0.15">
      <c r="A37" t="s">
        <v>222</v>
      </c>
      <c r="B37" t="s">
        <v>149</v>
      </c>
    </row>
    <row r="38" spans="1:2" ht="15.75" customHeight="1" x14ac:dyDescent="0.15">
      <c r="A38" t="s">
        <v>223</v>
      </c>
      <c r="B38" t="s">
        <v>150</v>
      </c>
    </row>
    <row r="39" spans="1:2" ht="15.75" customHeight="1" x14ac:dyDescent="0.15">
      <c r="A39" t="s">
        <v>224</v>
      </c>
      <c r="B39" t="s">
        <v>151</v>
      </c>
    </row>
    <row r="42" spans="1:2" ht="15.75" customHeight="1" x14ac:dyDescent="0.15">
      <c r="A42" t="s">
        <v>182</v>
      </c>
      <c r="B42" t="s">
        <v>225</v>
      </c>
    </row>
    <row r="43" spans="1:2" ht="15.75" customHeight="1" x14ac:dyDescent="0.15">
      <c r="A43" t="s">
        <v>226</v>
      </c>
      <c r="B43" t="s">
        <v>228</v>
      </c>
    </row>
    <row r="44" spans="1:2" ht="15.75" customHeight="1" x14ac:dyDescent="0.15">
      <c r="A44" t="s">
        <v>227</v>
      </c>
      <c r="B44" t="s">
        <v>229</v>
      </c>
    </row>
    <row r="45" spans="1:2" ht="15.75" customHeight="1" x14ac:dyDescent="0.15">
      <c r="A45" t="s">
        <v>272</v>
      </c>
      <c r="B45" t="s">
        <v>273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