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1" l="1" a="1"/>
  <c r="P36" i="1"/>
  <c r="O36" i="1" a="1"/>
  <c r="O36" i="1"/>
  <c r="N36" i="1" a="1"/>
  <c r="N36" i="1"/>
  <c r="M36" i="1" a="1"/>
  <c r="M36" i="1"/>
  <c r="E36" i="1"/>
  <c r="D17" i="2"/>
  <c r="D36" i="1"/>
  <c r="P37" i="1" a="1"/>
  <c r="P37" i="1"/>
  <c r="O37" i="1" a="1"/>
  <c r="O37" i="1"/>
  <c r="N37" i="1" a="1"/>
  <c r="N37" i="1"/>
  <c r="M37" i="1" a="1"/>
  <c r="M37" i="1"/>
  <c r="D37" i="1"/>
  <c r="M29" i="1" a="1"/>
  <c r="M29" i="1"/>
  <c r="O29" i="1" a="1"/>
  <c r="O29" i="1"/>
  <c r="P29" i="1" a="1"/>
  <c r="P29" i="1"/>
  <c r="D29" i="1"/>
  <c r="M30" i="1" a="1"/>
  <c r="M30" i="1"/>
  <c r="O30" i="1" a="1"/>
  <c r="O30" i="1"/>
  <c r="P30" i="1" a="1"/>
  <c r="P30" i="1"/>
  <c r="D30" i="1"/>
  <c r="N29" i="1" a="1"/>
  <c r="N29" i="1"/>
  <c r="D31" i="1"/>
  <c r="D32" i="1"/>
  <c r="D33" i="1"/>
  <c r="D34" i="1"/>
  <c r="D35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N30" i="1" a="1"/>
  <c r="N30" i="1"/>
  <c r="D6" i="2"/>
  <c r="E29" i="1"/>
  <c r="E2" i="1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G10" i="2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5" i="1"/>
  <c r="E34" i="1"/>
  <c r="E33" i="1"/>
  <c r="E32" i="1"/>
  <c r="E31" i="1"/>
  <c r="E30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<sst xmlns="http://schemas.openxmlformats.org/spreadsheetml/2006/main" count="354" uniqueCount="273">
  <si>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</si>
  <si>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</si>
  <si>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</si>
  <si>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</si>
  <si>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</si>
  <si>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</si>
  <si>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</si>
  <si>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</si>
  <si>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</si>
  <si>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</si>
  <si>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</si>
  <si>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</si>
  <si>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</si>
  <si>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</si>
  <si>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</si>
  <si>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</si>
  <si>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</si>
  <si>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</si>
  <si>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</si>
  <si>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G7-T3-S1-PP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</si>
  <si>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</si>
  <si>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</si>
  <si>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</si>
  <si>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</si>
  <si>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</si>
  <si>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</si>
  <si>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G8-T3-S1-PP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</si>
  <si>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</si>
  <si>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</si>
  <si>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</si>
  <si>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</si>
  <si>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</si>
  <si>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</si>
  <si>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G9-T3-S1-PP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</si>
  <si>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</si>
  <si>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</si>
  <si>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</si>
  <si>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</si>
  <si>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</si>
  <si>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</si>
  <si>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G10-T3-S1-PP</t>
  </si>
  <si>
    <t>Grade 10 T3 First Summative Test + TOS + Answer Key (Premium)</t>
  </si>
  <si>
    <t>Grade 7 T3 Periodic Test + TOS + Answer Key (Basic)</t>
  </si>
  <si>
    <t>https://i.imgur.com/TYIT3or.jpeg</t>
  </si>
  <si>
    <t>Grade 7 T3 Periodic Test + TOS + Answer Key (Standard)</t>
  </si>
  <si>
    <t>Grade 7 T3 Periodic Test + TOS + Answer Key (Premium)</t>
  </si>
  <si>
    <t>Grade 8 T3 Periodic Test + TOS + Answer Key (Basic)</t>
  </si>
  <si>
    <t>https://i.imgur.com/CTCvbDz.jpeg</t>
  </si>
  <si>
    <t>Grade 8 T3 Periodic Test + TOS + Answer Key (Standard)</t>
  </si>
  <si>
    <t>Grade 8 T3 Periodic Test + TOS + Answer Key (Premium)</t>
  </si>
  <si>
    <t>Grade 9 T3 Periodic Test + TOS + Answer Key (Basic)</t>
  </si>
  <si>
    <t>https://i.imgur.com/c0IwjHZ.jpeg</t>
  </si>
  <si>
    <t>Grade 9 T3 Periodic Test + TOS + Answer Key (Standard)</t>
  </si>
  <si>
    <t>Grade 9 T3 Periodic Test + TOS + Answer Key (Premium)</t>
  </si>
  <si>
    <t>Grade 10 T3 Periodic Test + TOS + Answer Key (Basic)</t>
  </si>
  <si>
    <t>https://i.imgur.com/PsPVTBV.jpeg</t>
  </si>
  <si>
    <t>Grade 10 T3 Periodic Test + TOS + Answer Key (Standard)</t>
  </si>
  <si>
    <t>Grade 10 T3 Periodic Test + TOS + Answer Key (Premium)</t>
  </si>
  <si>
    <t>G7-T1-S1-BP</t>
  </si>
  <si>
    <t>Grade 7 T1 First Summative Test + TOS + Answer Key (Basic)</t>
  </si>
  <si>
    <t>https://res.cloudinary.com/dadubemrv/image/upload/v1771580685/s2on3kech3iylmxfxawn.jpg</t>
  </si>
  <si>
    <t>G7-T1-S1-SP</t>
  </si>
  <si>
    <t>Grade 7 T1 First Summative Test + TOS + Answer Key (Standard)</t>
  </si>
  <si>
    <t>G7-T1-S1-PP</t>
  </si>
  <si>
    <t>Grade 7 T1 First Summative Test + TOS + Answer Key (Premium)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</si>
  <si>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</si>
  <si>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</si>
  <si>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</si>
  <si>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</si>
  <si>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</si>
  <si>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G8-T1-S1-PP</t>
  </si>
  <si>
    <t>Grade 8 T1 First Summative Test + TOS + Answer Key (Premium)</t>
  </si>
  <si>
    <t>G9-T1-S1-BP</t>
  </si>
  <si>
    <t>Grade 9 T1 First Summative Test + TOS + Answer Key (Basic)</t>
  </si>
  <si>
    <t>https://res.cloudinary.com/dadubemrv/image/upload/v1771581041/bwg96ufbzxt2qcdwzb1d.jpg</t>
  </si>
  <si>
    <t>G9-T1-S1-SP</t>
  </si>
  <si>
    <t>Grade 9 T1 First Summative Test + TOS + Answer Key (Standard)</t>
  </si>
  <si>
    <t>G9-T1-S1-PP</t>
  </si>
  <si>
    <t>Grade 9 T1 First Summative Test + TOS + Answer Key (Premium)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</si>
  <si>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</si>
  <si>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</si>
  <si>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</si>
  <si>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</si>
  <si>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</si>
  <si>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G10-T1-S1-PP</t>
  </si>
  <si>
    <t>Grade 10 T1 First Summative Test + TOS + Answer Key (Premium)</t>
  </si>
  <si>
    <t>Grade 7 T1 Periodic Test + TOS + Answer Key (Basic)</t>
  </si>
  <si>
    <t>https://res.cloudinary.com/dadubemrv/image/upload/v1771580533/lfmu3tsjv8rrj4tcyhfj.jpg</t>
  </si>
  <si>
    <t>Grade 7 T1 Periodic Test + TOS + Answer Key (Standard)</t>
  </si>
  <si>
    <t>Grade 7 T1 Periodic Test + TOS + Answer Key (Premium)</t>
  </si>
  <si>
    <t>Grade 8 T1 Periodic Test + TOS + Answer Key (Basic)</t>
  </si>
  <si>
    <t>https://i.imgur.com/Eciazvr.jpeg</t>
  </si>
  <si>
    <t>Grade 8 T1 Periodic Test + TOS + Answer Key (Standard)</t>
  </si>
  <si>
    <t>Grade 8 T1 Periodic Test + TOS + Answer Key (Premium)</t>
  </si>
  <si>
    <t>Grade 9 T1 Periodic Test + TOS + Answer Key (Basic)</t>
  </si>
  <si>
    <t>https://res.cloudinary.com/dadubemrv/image/upload/v1771580879/sz2yqh5rmfyci6hwivcc.jpg</t>
  </si>
  <si>
    <t>Grade 9 T1 Periodic Test + TOS + Answer Key (Standard)</t>
  </si>
  <si>
    <t>Grade 9 T1 Periodic Test + TOS + Answer Key (Premium)</t>
  </si>
  <si>
    <t>Grade 10 T1 Periodic Test + TOS + Answer Key (Basic)</t>
  </si>
  <si>
    <t>https://res.cloudinary.com/dadubemrv/image/upload/v1771581176/bpjq83f63jehupa4mqs7.jpg</t>
  </si>
  <si>
    <t>Grade 10 T1 Periodic Test + TOS + Answer Key (Standard)</t>
  </si>
  <si>
    <t>Grade 10 T1 Periodic Test + TOS + Answer Key (Premium)</t>
  </si>
  <si>
    <t>G7-T1-MQ</t>
  </si>
  <si>
    <t>Grade 7 T1 Multiple-Choice Quizzes + Answer Keys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</si>
  <si>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</si>
  <si>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</si>
  <si>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</si>
  <si>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</si>
  <si>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</si>
  <si>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</si>
  <si>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https://res.cloudinary.com/dadubemrv/image/upload/v1770982592/npoqdwippiz4cxvg9bii.jpg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</si>
  <si>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</si>
  <si>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</si>
  <si>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</si>
  <si>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</si>
  <si>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</si>
  <si>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</si>
  <si>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</si>
  <si>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</si>
  <si>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</si>
  <si>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</si>
  <si>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</si>
  <si>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</si>
  <si>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</si>
  <si>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</si>
  <si>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</si>
  <si>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</si>
  <si>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</si>
  <si>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</si>
  <si>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</si>
  <si>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</si>
  <si>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</si>
  <si>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</si>
  <si>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</si>
  <si>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</si>
  <si>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</si>
  <si>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Grade 8 T2 Periodic Test + TOS + Answer Key (Basic)</t>
  </si>
  <si>
    <t>https://i.imgur.com/8n2VCOb.jpeg</t>
  </si>
  <si>
    <t>Grade 8 T2 Periodic Test + TOS + Answer Key (Standard)</t>
  </si>
  <si>
    <t>Grade 8 T2 Periodic Test + TOS + Answer Key (Premium)</t>
  </si>
  <si>
    <t>Grade 9 T2 Periodic Test + TOS + Answer Key (Basic)</t>
  </si>
  <si>
    <t>https://i.imgur.com/sVIQDun.jpeg</t>
  </si>
  <si>
    <t>Grade 9 T2 Periodic Test + TOS + Answer Key (Standard)</t>
  </si>
  <si>
    <t>Grade 9 T2 Periodic Test + TOS + Answer Key (Premium)</t>
  </si>
  <si>
    <t>Grade 10 T2 Periodic Test + TOS + Answer Key (Basic)</t>
  </si>
  <si>
    <t>https://i.imgur.com/T2J0K9c.jpeg</t>
  </si>
  <si>
    <t>Grade 10 T2 Periodic Test + TOS + Answer Key (Standard)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</si>
  <si>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</si>
  <si>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</si>
  <si>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</si>
  <si>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</si>
  <si>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</si>
  <si>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</si>
  <si>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</si>
  <si>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</si>
  <si>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</si>
  <si>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</si>
  <si>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</si>
  <si>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</si>
  <si>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</si>
  <si>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</si>
  <si>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</si>
  <si>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</si>
  <si>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</si>
  <si>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</si>
  <si>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 xml:space="preserve">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</si>
  <si>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</si>
  <si>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</si>
  <si>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</si>
  <si>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</si>
  <si>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</si>
  <si>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</si>
  <si>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</si>
  <si>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</si>
  <si>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</si>
  <si>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</si>
  <si>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</si>
  <si>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</si>
  <si>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</si>
  <si>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</si>
  <si>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</si>
  <si>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</si>
  <si>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</si>
  <si>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</si>
  <si>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</si>
  <si>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</si>
  <si>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</si>
  <si>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</si>
  <si>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</si>
  <si>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</si>
  <si>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</si>
  <si>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https://res.cloudinary.com/dadubemrv/image/upload/v1783262649/xa3ma5xtgdbpiti2pulm.png, 
https://res.cloudinary.com/dadubemrv/image/upload/v1783262653/xelrwfv3qo9fte8tcav5.png, 
https://res.cloudinary.com/dadubemrv/image/upload/v1783262656/erime3c8h1ngvdbdrwdu.png, 
https://res.cloudinary.com/dadubemrv/image/upload/v1783262658/s6wrnagjw7rwy2jvrk9h.png</t>
  </si>
  <si>
    <t>https://res.cloudinary.com/dadubemrv/image/upload/v1783263602/yd7hsdwqb5dk19s6pakw.png,https://res.cloudinary.com/dadubemrv/image/upload/v1783263605/ujoydnhzuhsnv7yic56j.png,https://res.cloudinary.com/dadubemrv/image/upload/v1783263608/d8tvcndvdvbcscplmsni.png,https://res.cloudinary.com/dadubemrv/image/upload/v1783263611/xnrnsjt720lvbgoycchm.png</t>
  </si>
  <si>
    <t>https://res.cloudinary.com/dadubemrv/image/upload/v1784259489/jon7ha1w9jssifhlph7u.png,https://res.cloudinary.com/dadubemrv/image/upload/v1784259493/l9iore0gcpvw7hcecvvt.png,https://res.cloudinary.com/dadubemrv/image/upload/v1784259496/fyqiathetzwuch9vy3t7.png</t>
  </si>
  <si>
    <t>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</t>
  </si>
  <si>
    <t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</t>
  </si>
  <si>
    <t>G7-T1-S2-BP</t>
  </si>
  <si>
    <t>Grade 7 T1 Second Summative Test + TOS + Answer Key (Basic)</t>
  </si>
  <si>
    <t>https://res.cloudinary.com/dadubemrv/image/upload/v1784692768/blzn2f4qf4csagllrdmj.png,https://res.cloudinary.com/dadubemrv/image/upload/v1784692772/mlwmihwoocbpcd5of6rx.png,https://res.cloudinary.com/dadubemrv/image/upload/v1784692776/adpmufdqkz5qxw5yzj0p.png</t>
  </si>
  <si>
    <t xml:space="preserve">Coverage </t>
  </si>
  <si>
    <t>S1</t>
  </si>
  <si>
    <t>Code</t>
  </si>
  <si>
    <t>Product type</t>
  </si>
  <si>
    <t>S2</t>
  </si>
  <si>
    <t>MQ</t>
  </si>
  <si>
    <t>First Summative test</t>
  </si>
  <si>
    <t>Multiple-choice Quizzes</t>
  </si>
  <si>
    <t>Second Summative test</t>
  </si>
  <si>
    <t>G7-T3-TE-BP</t>
  </si>
  <si>
    <t>G7-T3-TE-SP</t>
  </si>
  <si>
    <t>G7-T3-TE-PP</t>
  </si>
  <si>
    <t>G8-T3-TE-BP</t>
  </si>
  <si>
    <t>G8-T3-TE-SP</t>
  </si>
  <si>
    <t>G8-T3-TE-PP</t>
  </si>
  <si>
    <t>G9-T3-TE-BP</t>
  </si>
  <si>
    <t>G9-T3-TE-SP</t>
  </si>
  <si>
    <t>G9-T3-TE-PP</t>
  </si>
  <si>
    <t>G10-T3-TE-BP</t>
  </si>
  <si>
    <t>G10-T3-TE-SP</t>
  </si>
  <si>
    <t>G10-T3-TE-PP</t>
  </si>
  <si>
    <t>G7-T1-TE-BP</t>
  </si>
  <si>
    <t>G7-T1-TE-SP</t>
  </si>
  <si>
    <t>G7-T1-TE-PP</t>
  </si>
  <si>
    <t>G8-T1-TE-BP</t>
  </si>
  <si>
    <t>G8-T1-TE-SP</t>
  </si>
  <si>
    <t>G8-T1-TE-PP</t>
  </si>
  <si>
    <t>G9-T1-TE-BP</t>
  </si>
  <si>
    <t>G9-T1-TE-SP</t>
  </si>
  <si>
    <t>G9-T1-TE-PP</t>
  </si>
  <si>
    <t>G10-T1-TE-BP</t>
  </si>
  <si>
    <t>G10-T1-TE-SP</t>
  </si>
  <si>
    <t>G10-T1-TE-PP</t>
  </si>
  <si>
    <t>G8-T2-TE-BP</t>
  </si>
  <si>
    <t>G8-T2-TE-SP</t>
  </si>
  <si>
    <t>G8-T2-TE-PP</t>
  </si>
  <si>
    <t>G9-T2-TE-BP</t>
  </si>
  <si>
    <t>G9-T2-TE-SP</t>
  </si>
  <si>
    <t>G9-T2-TE-PP</t>
  </si>
  <si>
    <t>G10-T2-TE-BP</t>
  </si>
  <si>
    <t>G10-T2-TE-SP</t>
  </si>
  <si>
    <t>G10-T2-TE-PP</t>
  </si>
  <si>
    <t>TE</t>
  </si>
  <si>
    <t>Term Exam</t>
  </si>
  <si>
    <t>Term</t>
  </si>
  <si>
    <t>T1</t>
  </si>
  <si>
    <t>T2</t>
  </si>
  <si>
    <t>T3</t>
  </si>
  <si>
    <t>First Term</t>
  </si>
  <si>
    <t>Second Term</t>
  </si>
  <si>
    <t>Third Term</t>
  </si>
  <si>
    <t>Grade level</t>
  </si>
  <si>
    <t>G7</t>
  </si>
  <si>
    <t>G8</t>
  </si>
  <si>
    <t>G9</t>
  </si>
  <si>
    <t>G10</t>
  </si>
  <si>
    <t>Package type</t>
  </si>
  <si>
    <t>BP</t>
  </si>
  <si>
    <t>SP</t>
  </si>
  <si>
    <t>PP</t>
  </si>
  <si>
    <t>Basic Assessment Package</t>
  </si>
  <si>
    <t>Standard Assessment Package</t>
  </si>
  <si>
    <t>Premium Assessment Package</t>
  </si>
  <si>
    <t>Days</t>
  </si>
  <si>
    <t>Items</t>
  </si>
  <si>
    <t>ST Regular Basic</t>
  </si>
  <si>
    <t>G9-T1-S2-BP</t>
  </si>
  <si>
    <t>Grade 9 T1 Second Summative Test + TOS + Answer Key (Basic)</t>
  </si>
  <si>
    <t>https://res.cloudinary.com/dadubemrv/image/upload/v1784731784/ptqhzxe6hdaphiivprrc.png,https://res.cloudinary.com/dadubemrv/image/upload/v1784731787/jc6dwnedukuiwimgdgxv.png,https://res.cloudinary.com/dadubemrv/image/upload/v1784731789/aidqozqvzsxtxmtppi1c.png</t>
  </si>
  <si>
    <t xml:space="preserve">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</t>
  </si>
  <si>
    <t xml:space="preserve">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</t>
  </si>
  <si>
    <t xml:space="preserve">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</t>
  </si>
  <si>
    <t xml:space="preserve">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</si>
</sst>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9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  <xf numFmtId="0" fontId="4" fillId="0" borderId="0" xfId="0" applyFont="1" applyAlignment="1">
      <alignment wrapText="1"/>
    </xf>
    <xf numFmtId="0" fontId="9" fillId="0" borderId="0" xfId="1" applyFill="1" applyAlignment="1">
      <alignment wrapText="1"/>
    </xf>
    <xf numFmtId="0" fontId="1" fillId="0" borderId="0" xfId="0" quotePrefix="1" applyFont="1" applyAlignment="1">
      <alignment wrapText="1"/>
    </xf>
    <xf numFmtId="0" fontId="9" fillId="0" borderId="0" xfId="1" applyAlignment="1"/>
    <xf numFmtId="0" fontId="9" fillId="0" borderId="0" xfId="1" applyAlignment="1">
      <alignment wrapText="1"/>
    </xf>
    <xf numFmtId="0" fontId="0" fillId="0" borderId="0" xfId="0" applyFont="1" applyAlignment="1">
      <alignment wrapText="1"/>
    </xf>
    <xf numFmtId="0" fontId="9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0685/s2on3kech3iylmxfxawn.jpg" TargetMode="External" /><Relationship Id="rId39" Type="http://schemas.openxmlformats.org/officeDocument/2006/relationships/hyperlink" Target="https://res.cloudinary.com/dadubemrv/image/upload/v1771581176/bpjq83f63jehupa4mqs7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0533/lfmu3tsjv8rrj4tcyhfj.jpg" TargetMode="External" /><Relationship Id="rId42" Type="http://schemas.openxmlformats.org/officeDocument/2006/relationships/hyperlink" Target="https://res.cloudinary.com/dadubemrv/image/upload/v1784259489/jon7ha1w9jssifhlph7u.png,https:/res.cloudinary.com/dadubemrv/image/upload/v1784259493/l9iore0gcpvw7hcecvvt.png,https:/res.cloudinary.com/dadubemrv/image/upload/v1784259496/fyqiathetzwuch9vy3t7.png" TargetMode="External" /><Relationship Id="rId47" Type="http://schemas.openxmlformats.org/officeDocument/2006/relationships/hyperlink" Target="https://i.imgur.com/44eqx0V.jpeg" TargetMode="External" /><Relationship Id="rId50" Type="http://schemas.openxmlformats.org/officeDocument/2006/relationships/hyperlink" Target="https://i.imgur.com/KDUYUX7.jpeg" TargetMode="External" /><Relationship Id="rId55" Type="http://schemas.openxmlformats.org/officeDocument/2006/relationships/hyperlink" Target="https://i.imgur.com/P1inplO.jpeg" TargetMode="External" /><Relationship Id="rId63" Type="http://schemas.openxmlformats.org/officeDocument/2006/relationships/hyperlink" Target="https://i.imgur.com/8n2VCOb.jpeg" TargetMode="External" /><Relationship Id="rId68" Type="http://schemas.openxmlformats.org/officeDocument/2006/relationships/hyperlink" Target="https://i.imgur.com/q2J0K9c.jpeg" TargetMode="External" /><Relationship Id="rId7" Type="http://schemas.openxmlformats.org/officeDocument/2006/relationships/hyperlink" Target="https://i.imgur.com/taq0wC7.jpeg" TargetMode="External" /><Relationship Id="rId71" Type="http://schemas.openxmlformats.org/officeDocument/2006/relationships/hyperlink" Target="https://res.cloudinary.com/dadubemrv/image/upload/v1783263602/yd7hsdwqb5dk19s6pakw.png,https:/res.cloudinary.com/dadubemrv/image/upload/v1783263605/ujoydnhzuhsnv7yic56j.png,https:/res.cloudinary.com/dadubemrv/image/upload/v1783263608/d8tvcndvdvbcscplmsni.png,https:/res.cloudinary.com/dadubemrv/image/upload/v1783263611/xnrnsjt720lvbgoycchm.pn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1041/bwg96ufbzxt2qcdwzb1d.jp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1341/mt0reu4d16nbbglfigzi.jpg" TargetMode="External" /><Relationship Id="rId37" Type="http://schemas.openxmlformats.org/officeDocument/2006/relationships/hyperlink" Target="https://res.cloudinary.com/dadubemrv/image/upload/v1771580879/sz2yqh5rmfyci6hwivcc.jpg" TargetMode="External" /><Relationship Id="rId40" Type="http://schemas.openxmlformats.org/officeDocument/2006/relationships/hyperlink" Target="https://res.cloudinary.com/dadubemrv/image/upload/v1771581176/bpjq83f63jehupa4mqs7.jpg" TargetMode="External" /><Relationship Id="rId45" Type="http://schemas.openxmlformats.org/officeDocument/2006/relationships/hyperlink" Target="https://res.cloudinary.com/dadubemrv/image/upload/v1771462496/coog2txapkkedhuakqjx.jpg" TargetMode="External" /><Relationship Id="rId53" Type="http://schemas.openxmlformats.org/officeDocument/2006/relationships/hyperlink" Target="https://i.imgur.com/PRWYDB8.jpeg" TargetMode="External" /><Relationship Id="rId58" Type="http://schemas.openxmlformats.org/officeDocument/2006/relationships/hyperlink" Target="https://i.imgur.com/uDMIvrF.jpeg" TargetMode="External" /><Relationship Id="rId66" Type="http://schemas.openxmlformats.org/officeDocument/2006/relationships/hyperlink" Target="https://i.imgur.com/sVIQDun.jpe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1041/bwg96ufbzxt2qcdwzb1d.jpg" TargetMode="External" /><Relationship Id="rId36" Type="http://schemas.openxmlformats.org/officeDocument/2006/relationships/hyperlink" Target="https://res.cloudinary.com/dadubemrv/image/upload/v1771580879/sz2yqh5rmfyci6hwivcc.jpg" TargetMode="External" /><Relationship Id="rId49" Type="http://schemas.openxmlformats.org/officeDocument/2006/relationships/hyperlink" Target="https://i.imgur.com/KDUYUX7.jpeg" TargetMode="External" /><Relationship Id="rId57" Type="http://schemas.openxmlformats.org/officeDocument/2006/relationships/hyperlink" Target="https://i.imgur.com/P1inplO.jpeg" TargetMode="External" /><Relationship Id="rId61" Type="http://schemas.openxmlformats.org/officeDocument/2006/relationships/hyperlink" Target="https://i.imgur.com/8n2VCOb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1341/mt0reu4d16nbbglfigzi.jpg" TargetMode="External" /><Relationship Id="rId44" Type="http://schemas.openxmlformats.org/officeDocument/2006/relationships/hyperlink" Target="https://res.cloudinary.com/dadubemrv/image/upload/v1770982592/npoqdwippiz4cxvg9bii.jpg" TargetMode="External" /><Relationship Id="rId52" Type="http://schemas.openxmlformats.org/officeDocument/2006/relationships/hyperlink" Target="https://i.imgur.com/PRWYDB8.jpeg" TargetMode="External" /><Relationship Id="rId60" Type="http://schemas.openxmlformats.org/officeDocument/2006/relationships/hyperlink" Target="https://i.imgur.com/uDMIvrF.jpeg" TargetMode="External" /><Relationship Id="rId65" Type="http://schemas.openxmlformats.org/officeDocument/2006/relationships/hyperlink" Target="https://i.imgur.com/sVIQDun.jpe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0685/s2on3kech3iylmxfxawn.jpg" TargetMode="External" /><Relationship Id="rId30" Type="http://schemas.openxmlformats.org/officeDocument/2006/relationships/hyperlink" Target="https://res.cloudinary.com/dadubemrv/image/upload/v1771581341/mt0reu4d16nbbglfigzi.jpg" TargetMode="External" /><Relationship Id="rId35" Type="http://schemas.openxmlformats.org/officeDocument/2006/relationships/hyperlink" Target="https://res.cloudinary.com/dadubemrv/image/upload/v1771580533/lfmu3tsjv8rrj4tcyhfj.jpg" TargetMode="External" /><Relationship Id="rId43" Type="http://schemas.openxmlformats.org/officeDocument/2006/relationships/hyperlink" Target="https://res.cloudinary.com/dadubemrv/image/upload/v1771463118/oreyawsxzur1rlvsgtxv.jpg" TargetMode="External" /><Relationship Id="rId48" Type="http://schemas.openxmlformats.org/officeDocument/2006/relationships/hyperlink" Target="https://i.imgur.com/44eqx0V.jpeg" TargetMode="External" /><Relationship Id="rId56" Type="http://schemas.openxmlformats.org/officeDocument/2006/relationships/hyperlink" Target="https://i.imgur.com/P1inplO.jpeg" TargetMode="External" /><Relationship Id="rId64" Type="http://schemas.openxmlformats.org/officeDocument/2006/relationships/hyperlink" Target="https://i.imgur.com/sVIQDun.jpeg" TargetMode="External" /><Relationship Id="rId69" Type="http://schemas.openxmlformats.org/officeDocument/2006/relationships/hyperlink" Target="https://i.imgur.com/q2J0K9c.jpe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KDUYUX7.jpeg" TargetMode="External" /><Relationship Id="rId72" Type="http://schemas.openxmlformats.org/officeDocument/2006/relationships/hyperlink" Target="https://res.cloudinary.com/dadubemrv/image/upload/v1784731784/ptqhzxe6hdaphiivprrc.png,https:/res.cloudinary.com/dadubemrv/image/upload/v1784731787/jc6dwnedukuiwimgdgxv.png,https:/res.cloudinary.com/dadubemrv/image/upload/v1784731789/aidqozqvzsxtxmtppi1c.pn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0533/lfmu3tsjv8rrj4tcyhfj.jpg" TargetMode="External" /><Relationship Id="rId38" Type="http://schemas.openxmlformats.org/officeDocument/2006/relationships/hyperlink" Target="https://res.cloudinary.com/dadubemrv/image/upload/v1771580879/sz2yqh5rmfyci6hwivcc.jpg" TargetMode="External" /><Relationship Id="rId46" Type="http://schemas.openxmlformats.org/officeDocument/2006/relationships/hyperlink" Target="https://i.imgur.com/44eqx0V.jpeg" TargetMode="External" /><Relationship Id="rId59" Type="http://schemas.openxmlformats.org/officeDocument/2006/relationships/hyperlink" Target="https://i.imgur.com/uDMIvrF.jpeg" TargetMode="External" /><Relationship Id="rId67" Type="http://schemas.openxmlformats.org/officeDocument/2006/relationships/hyperlink" Target="https://i.imgur.com/q2J0K9c.jpe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res.cloudinary.com/dadubemrv/image/upload/v1771581176/bpjq83f63jehupa4mqs7.jpg" TargetMode="External" /><Relationship Id="rId54" Type="http://schemas.openxmlformats.org/officeDocument/2006/relationships/hyperlink" Target="https://i.imgur.com/PRWYDB8.jpeg" TargetMode="External" /><Relationship Id="rId62" Type="http://schemas.openxmlformats.org/officeDocument/2006/relationships/hyperlink" Target="https://i.imgur.com/8n2VCOb.jpeg" TargetMode="External" /><Relationship Id="rId70" Type="http://schemas.openxmlformats.org/officeDocument/2006/relationships/hyperlink" Target="https://res.cloudinary.com/dadubemrv/image/upload/v1784692768/blzn2f4qf4csagllrdmj.png,https:/res.cloudinary.com/dadubemrv/image/upload/v1784692772/mlwmihwoocbpcd5of6rx.png,https:/res.cloudinary.com/dadubemrv/image/upload/v1784692776/adpmufdqkz5qxw5yzj0p.pn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4"/>
  <sheetViews>
    <sheetView tabSelected="1" workbookViewId="0">
      <pane xSplit="1" ySplit="1" topLeftCell="E2" activePane="bottomRight" state="frozen"/>
      <selection activeCell="A5" sqref="A5"/>
      <selection pane="bottomLeft" activeCell="D30" sqref="D30"/>
      <selection pane="topRight" activeCell="C1" sqref="C1"/>
      <selection pane="bottomRight" activeCell="F29" sqref="F29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199</v>
      </c>
      <c r="M1" t="s">
        <v>202</v>
      </c>
      <c r="N1" t="s">
        <v>243</v>
      </c>
      <c r="O1" t="s">
        <v>250</v>
      </c>
      <c r="P1" t="s">
        <v>255</v>
      </c>
      <c r="Q1" t="s">
        <v>262</v>
      </c>
      <c r="R1" t="s">
        <v>263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46178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19</v>
      </c>
      <c r="B6" s="13" t="s">
        <v>20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21</v>
      </c>
      <c r="B7" s="13" t="s">
        <v>22</v>
      </c>
      <c r="C7" s="16" t="s">
        <v>23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24</v>
      </c>
      <c r="B8" s="13" t="s">
        <v>25</v>
      </c>
      <c r="C8" s="14" t="s">
        <v>23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</v>
      </c>
      <c r="B9" s="13" t="s">
        <v>27</v>
      </c>
      <c r="C9" s="14" t="s">
        <v>23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28</v>
      </c>
      <c r="B10" s="13" t="s">
        <v>29</v>
      </c>
      <c r="C10" s="16" t="s">
        <v>30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31</v>
      </c>
      <c r="B11" s="13" t="s">
        <v>32</v>
      </c>
      <c r="C11" s="14" t="s">
        <v>30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33</v>
      </c>
      <c r="B12" s="13" t="s">
        <v>34</v>
      </c>
      <c r="C12" s="14" t="s">
        <v>30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35</v>
      </c>
      <c r="B13" s="13" t="s">
        <v>36</v>
      </c>
      <c r="C13" s="16" t="s">
        <v>37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38</v>
      </c>
      <c r="B14" s="13" t="s">
        <v>39</v>
      </c>
      <c r="C14" s="14" t="s">
        <v>37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40</v>
      </c>
      <c r="B15" s="13" t="s">
        <v>41</v>
      </c>
      <c r="C15" s="14" t="s">
        <v>37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208</v>
      </c>
      <c r="B16" s="13" t="s">
        <v>42</v>
      </c>
      <c r="C16" s="18" t="s">
        <v>43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209</v>
      </c>
      <c r="B17" s="13" t="s">
        <v>44</v>
      </c>
      <c r="C17" s="18" t="s">
        <v>43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210</v>
      </c>
      <c r="B18" s="13" t="s">
        <v>45</v>
      </c>
      <c r="C18" s="18" t="s">
        <v>43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211</v>
      </c>
      <c r="B19" s="13" t="s">
        <v>46</v>
      </c>
      <c r="C19" s="16" t="s">
        <v>47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212</v>
      </c>
      <c r="B20" s="13" t="s">
        <v>48</v>
      </c>
      <c r="C20" s="14" t="s">
        <v>47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213</v>
      </c>
      <c r="B21" s="13" t="s">
        <v>49</v>
      </c>
      <c r="C21" s="14" t="s">
        <v>47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214</v>
      </c>
      <c r="B22" s="13" t="s">
        <v>50</v>
      </c>
      <c r="C22" s="16" t="s">
        <v>51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215</v>
      </c>
      <c r="B23" s="13" t="s">
        <v>52</v>
      </c>
      <c r="C23" s="14" t="s">
        <v>51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216</v>
      </c>
      <c r="B24" s="13" t="s">
        <v>53</v>
      </c>
      <c r="C24" s="14" t="s">
        <v>51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217</v>
      </c>
      <c r="B25" s="13" t="s">
        <v>54</v>
      </c>
      <c r="C25" s="16" t="s">
        <v>55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218</v>
      </c>
      <c r="B26" s="13" t="s">
        <v>56</v>
      </c>
      <c r="C26" s="14" t="s">
        <v>55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219</v>
      </c>
      <c r="B27" s="13" t="s">
        <v>57</v>
      </c>
      <c r="C27" s="14" t="s">
        <v>55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3" t="s">
        <v>58</v>
      </c>
      <c r="B29" s="13" t="s">
        <v>59</v>
      </c>
      <c r="C29" s="22" t="s">
        <v>191</v>
      </c>
      <c r="D29" s="8" t="str">
        <f>CONCATENATE("*Tinatamad ka ba, walang time, o nahihirapang gumawa ng TOS at ", Sheet1!M29, " mo, ",Sheet1!O29," KasaMath? Kuha ka na ng ", Sheet1!P29,"!*
**Bakit perfect para sa’yo ang ", Sheet1!P29,"?**
",Sheet2!D$17, L29,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₱"),Sheet1!F29," para sa **", Sheet1!M29,_xlfn._LONGTEXT("**.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Sheet1!R29,"-item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29" s="10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9" s="9">
        <v>60</v>
      </c>
      <c r="G29" s="9">
        <v>50</v>
      </c>
      <c r="H29" s="10" t="b">
        <v>0</v>
      </c>
      <c r="I29" s="5">
        <v>46176</v>
      </c>
      <c r="J29" s="10" t="b">
        <v>1</v>
      </c>
      <c r="K29" s="17">
        <v>46179</v>
      </c>
      <c r="L29" s="24" t="s">
        <v>268</v>
      </c>
      <c r="M29" s="10" t="str" cm="1">
        <f t="array" ref="M29">_xlfn.XLOOKUP(TRUE,ISNUMBER(SEARCH(Sheet2!A$23:A$26,A29)),Sheet2!B$23:B$26,"")</f>
        <v>First Summative test</v>
      </c>
      <c r="N29" s="10" t="str" cm="1">
        <f t="array" ref="N29">_xlfn.XLOOKUP(TRUE,ISNUMBER(SEARCH(Sheet2!A$30:A$32,A29)),Sheet2!B$30:B$32,"")</f>
        <v>First Term</v>
      </c>
      <c r="O29" s="10" t="str" cm="1">
        <f t="array" ref="O29">_xlfn.XLOOKUP(TRUE,ISNUMBER(SEARCH(Sheet2!A$36:A$39,A29)),Sheet2!B$36:B$39,"")</f>
        <v>Grade 7</v>
      </c>
      <c r="P29" s="10" t="str" cm="1">
        <f t="array" ref="P29">_xlfn.XLOOKUP(TRUE,ISNUMBER(SEARCH(Sheet2!A$43:A$45,A29)),Sheet2!B$43:B$45,"")</f>
        <v>Basic Assessment Package</v>
      </c>
      <c r="Q29" s="10">
        <v>15</v>
      </c>
      <c r="R29" s="10">
        <v>25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8" customHeight="1" x14ac:dyDescent="0.15">
      <c r="A30" s="11" t="s">
        <v>196</v>
      </c>
      <c r="B30" s="11" t="s">
        <v>197</v>
      </c>
      <c r="C30" s="26" t="s">
        <v>198</v>
      </c>
      <c r="D30" s="8" t="str">
        <f>CONCATENATE("*Tinatamad ka ba, walang time, o nahihirapang gumawa ng TOS at ", Sheet1!M30, " mo, ",Sheet1!O30," KasaMath? Kuha ka na ng ", Sheet1!P30,"!*
**Bakit perfect para sa’yo ang ", Sheet1!P30,"?**
",Sheet2!D$17, L30,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₱"),Sheet1!F30," para sa **", Sheet1!M30,_xlfn._LONGTEXT("**.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Sheet1!R30,"-item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7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Determine the measures of angles of polygons.
- Determine the number of sides of polygons.
- Solve problems involving percentage increase and percentage decrease.
- Solve money problems involving percentages (e. g., discount, commission, sales tax, simple interest).
- Create a financial plan.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**Second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0" s="9">
        <v>60</v>
      </c>
      <c r="G30" s="9">
        <v>50</v>
      </c>
      <c r="H30" s="4" t="b">
        <v>0</v>
      </c>
      <c r="I30" s="5">
        <v>46176</v>
      </c>
      <c r="J30" s="10" t="b">
        <v>1</v>
      </c>
      <c r="K30" s="17">
        <v>46179</v>
      </c>
      <c r="L30" s="24" t="s">
        <v>269</v>
      </c>
      <c r="M30" s="10" t="str" cm="1">
        <f t="array" ref="M30">_xlfn.XLOOKUP(TRUE,ISNUMBER(SEARCH(Sheet2!A$23:A$26,A30)),Sheet2!B$23:B$26,"")</f>
        <v>Second Summative test</v>
      </c>
      <c r="N30" s="10" t="str" cm="1">
        <f t="array" ref="N30">_xlfn.XLOOKUP(TRUE,ISNUMBER(SEARCH(Sheet2!A$30:A$32,A30)),Sheet2!B$30:B$32,"")</f>
        <v>First Term</v>
      </c>
      <c r="O30" s="10" t="str" cm="1">
        <f t="array" ref="O30">_xlfn.XLOOKUP(TRUE,ISNUMBER(SEARCH(Sheet2!A$36:A$39,A30)),Sheet2!B$36:B$39,"")</f>
        <v>Grade 7</v>
      </c>
      <c r="P30" s="10" t="str" cm="1">
        <f t="array" ref="P30">_xlfn.XLOOKUP(TRUE,ISNUMBER(SEARCH(Sheet2!A$43:A$45,A30)),Sheet2!B$43:B$45,"")</f>
        <v>Basic Assessment Package</v>
      </c>
      <c r="Q30" s="10">
        <v>15</v>
      </c>
      <c r="R30" s="10">
        <v>25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1:28" ht="15.75" customHeight="1" x14ac:dyDescent="0.15">
      <c r="A31" s="13" t="s">
        <v>61</v>
      </c>
      <c r="B31" s="13" t="s">
        <v>62</v>
      </c>
      <c r="C31" s="12" t="s">
        <v>60</v>
      </c>
      <c r="D3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1" s="15">
        <v>165</v>
      </c>
      <c r="G31" s="15">
        <v>115</v>
      </c>
      <c r="H31" s="4" t="b">
        <v>0</v>
      </c>
      <c r="I31" s="5">
        <v>46176</v>
      </c>
      <c r="J31" s="4" t="b">
        <v>0</v>
      </c>
      <c r="K31" s="17">
        <v>46176</v>
      </c>
    </row>
    <row r="32" spans="1:28" ht="15.75" customHeight="1" x14ac:dyDescent="0.15">
      <c r="A32" s="13" t="s">
        <v>63</v>
      </c>
      <c r="B32" s="13" t="s">
        <v>64</v>
      </c>
      <c r="C32" s="12" t="s">
        <v>60</v>
      </c>
      <c r="D3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2" s="15">
        <v>350</v>
      </c>
      <c r="G32" s="15">
        <v>245</v>
      </c>
      <c r="H32" s="4" t="b">
        <v>0</v>
      </c>
      <c r="I32" s="5">
        <v>46176</v>
      </c>
      <c r="J32" s="4" t="b">
        <v>0</v>
      </c>
      <c r="K32" s="17">
        <v>46176</v>
      </c>
    </row>
    <row r="33" spans="1:28" ht="15.75" customHeight="1" x14ac:dyDescent="0.15">
      <c r="A33" s="13" t="s">
        <v>65</v>
      </c>
      <c r="B33" s="13" t="s">
        <v>66</v>
      </c>
      <c r="C33" s="16" t="s">
        <v>67</v>
      </c>
      <c r="D3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3" s="9">
        <v>120</v>
      </c>
      <c r="G33" s="9">
        <v>84</v>
      </c>
      <c r="H33" s="4" t="b">
        <v>0</v>
      </c>
      <c r="I33" s="5">
        <v>46176</v>
      </c>
      <c r="J33" s="4" t="b">
        <v>0</v>
      </c>
      <c r="K33" s="17">
        <v>46176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1:28" ht="15.75" customHeight="1" x14ac:dyDescent="0.15">
      <c r="A34" s="13" t="s">
        <v>68</v>
      </c>
      <c r="B34" s="13" t="s">
        <v>69</v>
      </c>
      <c r="C34" s="14" t="s">
        <v>67</v>
      </c>
      <c r="D3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4" s="15">
        <v>165</v>
      </c>
      <c r="G34" s="15">
        <v>115</v>
      </c>
      <c r="H34" s="4" t="b">
        <v>0</v>
      </c>
      <c r="I34" s="5">
        <v>46176</v>
      </c>
      <c r="J34" s="4" t="b">
        <v>0</v>
      </c>
      <c r="K34" s="17">
        <v>46176</v>
      </c>
    </row>
    <row r="35" spans="1:28" ht="15.75" customHeight="1" x14ac:dyDescent="0.15">
      <c r="A35" s="13" t="s">
        <v>70</v>
      </c>
      <c r="B35" s="13" t="s">
        <v>71</v>
      </c>
      <c r="C35" s="14" t="s">
        <v>67</v>
      </c>
      <c r="D3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5" s="15">
        <v>350</v>
      </c>
      <c r="G35" s="15">
        <v>245</v>
      </c>
      <c r="H35" s="4" t="b">
        <v>0</v>
      </c>
      <c r="I35" s="5">
        <v>46176</v>
      </c>
      <c r="J35" s="4" t="b">
        <v>0</v>
      </c>
      <c r="K35" s="17">
        <v>46176</v>
      </c>
    </row>
    <row r="36" spans="1:28" ht="15.75" customHeight="1" x14ac:dyDescent="0.15">
      <c r="A36" s="13" t="s">
        <v>72</v>
      </c>
      <c r="B36" s="13" t="s">
        <v>73</v>
      </c>
      <c r="C36" s="23" t="s">
        <v>192</v>
      </c>
      <c r="D36" s="8" t="str">
        <f>CONCATENATE("*Tinatamad ka ba, walang time, o nahihirapang gumawa ng TOS at ", Sheet1!M36, " mo, ",Sheet1!O36," KasaMath? Kuha ka na ng ", Sheet1!P36,"!*
**Bakit perfect para sa’yo ang ", Sheet1!P36,"?**
",Sheet2!D$17, L36,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₱"),Sheet1!F36," para sa **", Sheet1!M36,_xlfn._LONGTEXT("**.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Sheet1!R36,"-item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First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6" s="10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6" s="9">
        <v>60</v>
      </c>
      <c r="G36" s="9">
        <v>50</v>
      </c>
      <c r="H36" s="10" t="b">
        <v>0</v>
      </c>
      <c r="I36" s="5">
        <v>46176</v>
      </c>
      <c r="J36" s="10" t="b">
        <v>1</v>
      </c>
      <c r="K36" s="17">
        <v>46179</v>
      </c>
      <c r="L36" s="24" t="s">
        <v>270</v>
      </c>
      <c r="M36" s="10" t="str" cm="1">
        <f t="array" ref="M36">_xlfn.XLOOKUP(TRUE,ISNUMBER(SEARCH(Sheet2!A$23:A$26,A36)),Sheet2!B$23:B$26,"")</f>
        <v>First Summative test</v>
      </c>
      <c r="N36" s="10" t="str" cm="1">
        <f t="array" ref="N36">_xlfn.XLOOKUP(TRUE,ISNUMBER(SEARCH(Sheet2!A$30:A$32,A36)),Sheet2!B$30:B$32,"")</f>
        <v>First Term</v>
      </c>
      <c r="O36" s="10" t="str" cm="1">
        <f t="array" ref="O36">_xlfn.XLOOKUP(TRUE,ISNUMBER(SEARCH(Sheet2!A$36:A$39,A36)),Sheet2!B$36:B$39,"")</f>
        <v>Grade 9</v>
      </c>
      <c r="P36" s="10" t="str" cm="1">
        <f t="array" ref="P36">_xlfn.XLOOKUP(TRUE,ISNUMBER(SEARCH(Sheet2!A$43:A$45,A36)),Sheet2!B$43:B$45,"")</f>
        <v>Basic Assessment Package</v>
      </c>
      <c r="Q36" s="10">
        <v>15</v>
      </c>
      <c r="R36" s="10">
        <v>25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 spans="1:28" ht="15.75" customHeight="1" x14ac:dyDescent="0.15">
      <c r="A37" s="13" t="s">
        <v>265</v>
      </c>
      <c r="B37" s="13" t="s">
        <v>266</v>
      </c>
      <c r="C37" s="28" t="s">
        <v>267</v>
      </c>
      <c r="D37" s="8" t="str">
        <f>CONCATENATE("*Tinatamad ka ba, walang time, o nahihirapang gumawa ng TOS at ", Sheet1!M37, " mo, ",Sheet1!O37," KasaMath? Kuha ka na ng ", Sheet1!P37,"!*
**Bakit perfect para sa’yo ang ", Sheet1!P37,"?**
",Sheet2!D$17, L37, _xlfn._LONGTEXT("
---
## Step 1: I-fill out at i-submit ang Order Form thru email, Messenger, or Telegram.
- Name:
- Email address:
- Grade level:
- Region:
- Division:
- Name of School:
- Address of School:
---
## Step 2: Payment and Delivery
### Payment Methods
M","ag-send ka lang ng ₱"),Sheet1!F37," para sa **", Sheet1!M37,_xlfn._LONGTEXT("**. 
- **Landbank**: 0695077289 (Jonathan R. Bacolod)  
- **GCash**: 09128389571 (Jonathan Bacolod)  
- **Maya**: 09128389571 (Jonathan Bacolod)  
**Isend ang Order Form at Screenshot ng Payment kahit saan dito:**
- Email: [texmathpro@gmail.com](mailto",":texmathpro@gmail.com)  
- Facebook: https://m.me/jonathan.r.bacolod  
- Telegram: https://t.me/Jonathan_Bacolod  
Isesend ko ang files sa email address mo after ng payment. 
### Delivery Includes:
- **Test**
  - Test type: "), Sheet1!R37,"-item multiple choice test
  - Dimensions: A4 bond paper
  - Format: PDF, created using LaTeX
- **Answer Key**
  - Format: PDF, created using LaTeX
- **Table of Specifications**
  - XLSX format", Sheet2!$D$6)</f>
        <v>*Tinatamad ka ba, walang time, o nahihirapang gumawa ng TOS at Second Summative test mo, Grade 9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📑 **Competencies Covered**
- Express the relationship between two variables as a function.
- Determine the slopes (as rate of change) and zeros of linear functions represented in graphs, equations, and tables of values.
- Graph a linear function and determine its domain, range, intercepts, and slope.
- Represent linear relationships found in real-life situations using different representations.
- Solve problems involving linear functions.
- Determine conditions that guarantee parallelism and perpendicularity of lines.
---
## Step 1: I-fill out at i-submit ang Order Form thru email, Messenger, or Telegram.
- Name:
- Email address:
- Grade level:
- Region:
- Division:
- Name of School:
- Address of School:
---
## Step 2: Payment and Delivery
### Payment Methods
Mag-send ka lang ng ₱60 para sa **Second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</v>
      </c>
      <c r="E3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7" s="9">
        <v>60</v>
      </c>
      <c r="G37" s="9">
        <v>50</v>
      </c>
      <c r="H37" s="4" t="b">
        <v>0</v>
      </c>
      <c r="I37" s="5">
        <v>46176</v>
      </c>
      <c r="J37" s="4" t="b">
        <v>1</v>
      </c>
      <c r="K37" s="17">
        <v>46179</v>
      </c>
      <c r="L37" s="24" t="s">
        <v>271</v>
      </c>
      <c r="M37" s="10" t="str" cm="1">
        <f t="array" ref="M37">_xlfn.XLOOKUP(TRUE,ISNUMBER(SEARCH(Sheet2!A$23:A$26,A37)),Sheet2!B$23:B$26,"")</f>
        <v>Second Summative test</v>
      </c>
      <c r="N37" s="10" t="str" cm="1">
        <f t="array" ref="N37">_xlfn.XLOOKUP(TRUE,ISNUMBER(SEARCH(Sheet2!A$30:A$32,A37)),Sheet2!B$30:B$32,"")</f>
        <v>First Term</v>
      </c>
      <c r="O37" s="10" t="str" cm="1">
        <f t="array" ref="O37">_xlfn.XLOOKUP(TRUE,ISNUMBER(SEARCH(Sheet2!A$36:A$39,A37)),Sheet2!B$36:B$39,"")</f>
        <v>Grade 9</v>
      </c>
      <c r="P37" s="10" t="str" cm="1">
        <f t="array" ref="P37">_xlfn.XLOOKUP(TRUE,ISNUMBER(SEARCH(Sheet2!A$43:A$45,A37)),Sheet2!B$43:B$45,"")</f>
        <v>Basic Assessment Package</v>
      </c>
      <c r="Q37" s="10">
        <v>15</v>
      </c>
      <c r="R37" s="10">
        <v>25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 spans="1:28" ht="15.75" customHeight="1" x14ac:dyDescent="0.15">
      <c r="A38" s="13" t="s">
        <v>75</v>
      </c>
      <c r="B38" s="13" t="s">
        <v>76</v>
      </c>
      <c r="C38" s="20" t="s">
        <v>74</v>
      </c>
      <c r="D3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8" s="15">
        <v>165</v>
      </c>
      <c r="G38" s="15">
        <v>115</v>
      </c>
      <c r="H38" s="4" t="b">
        <v>0</v>
      </c>
      <c r="I38" s="5">
        <v>46176</v>
      </c>
      <c r="J38" s="4" t="b">
        <v>0</v>
      </c>
      <c r="K38" s="17">
        <v>46176</v>
      </c>
    </row>
    <row r="39" spans="1:28" ht="15.75" customHeight="1" x14ac:dyDescent="0.15">
      <c r="A39" s="13" t="s">
        <v>77</v>
      </c>
      <c r="B39" s="13" t="s">
        <v>78</v>
      </c>
      <c r="C39" s="20" t="s">
        <v>74</v>
      </c>
      <c r="D3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9" s="15">
        <v>350</v>
      </c>
      <c r="G39" s="15">
        <v>245</v>
      </c>
      <c r="H39" s="4" t="b">
        <v>0</v>
      </c>
      <c r="I39" s="5">
        <v>46176</v>
      </c>
      <c r="J39" s="4" t="b">
        <v>0</v>
      </c>
      <c r="K39" s="17">
        <v>46176</v>
      </c>
    </row>
    <row r="40" spans="1:28" ht="15.75" customHeight="1" x14ac:dyDescent="0.15">
      <c r="A40" s="13" t="s">
        <v>79</v>
      </c>
      <c r="B40" s="13" t="s">
        <v>80</v>
      </c>
      <c r="C40" s="20" t="s">
        <v>81</v>
      </c>
      <c r="D4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0" s="9">
        <v>120</v>
      </c>
      <c r="G40" s="9">
        <v>84</v>
      </c>
      <c r="H40" s="4" t="b">
        <v>0</v>
      </c>
      <c r="I40" s="5">
        <v>46176</v>
      </c>
      <c r="J40" s="4" t="b">
        <v>0</v>
      </c>
      <c r="K40" s="17">
        <v>46176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spans="1:28" ht="15.75" customHeight="1" x14ac:dyDescent="0.15">
      <c r="A41" s="13" t="s">
        <v>82</v>
      </c>
      <c r="B41" s="13" t="s">
        <v>83</v>
      </c>
      <c r="C41" s="20" t="s">
        <v>81</v>
      </c>
      <c r="D4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1" s="15">
        <v>165</v>
      </c>
      <c r="G41" s="15">
        <v>115</v>
      </c>
      <c r="H41" s="4" t="b">
        <v>0</v>
      </c>
      <c r="I41" s="5">
        <v>46176</v>
      </c>
      <c r="J41" s="4" t="b">
        <v>0</v>
      </c>
      <c r="K41" s="17">
        <v>46176</v>
      </c>
    </row>
    <row r="42" spans="1:28" ht="15.75" customHeight="1" x14ac:dyDescent="0.15">
      <c r="A42" s="13" t="s">
        <v>84</v>
      </c>
      <c r="B42" s="13" t="s">
        <v>85</v>
      </c>
      <c r="C42" s="20" t="s">
        <v>81</v>
      </c>
      <c r="D4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2" s="15">
        <v>350</v>
      </c>
      <c r="G42" s="15">
        <v>245</v>
      </c>
      <c r="H42" s="4" t="b">
        <v>0</v>
      </c>
      <c r="I42" s="5">
        <v>46176</v>
      </c>
      <c r="J42" s="4" t="b">
        <v>0</v>
      </c>
      <c r="K42" s="17">
        <v>46176</v>
      </c>
    </row>
    <row r="43" spans="1:28" ht="15.75" customHeight="1" x14ac:dyDescent="0.15">
      <c r="A43" s="13" t="s">
        <v>220</v>
      </c>
      <c r="B43" s="13" t="s">
        <v>86</v>
      </c>
      <c r="C43" s="20" t="s">
        <v>87</v>
      </c>
      <c r="D4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3" s="9">
        <v>120</v>
      </c>
      <c r="G43" s="9">
        <v>84</v>
      </c>
      <c r="H43" s="4" t="b">
        <v>0</v>
      </c>
      <c r="I43" s="5">
        <v>46176</v>
      </c>
      <c r="J43" s="4" t="b">
        <v>0</v>
      </c>
      <c r="K43" s="17">
        <v>46176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 spans="1:28" ht="15.75" customHeight="1" x14ac:dyDescent="0.15">
      <c r="A44" s="13" t="s">
        <v>221</v>
      </c>
      <c r="B44" s="13" t="s">
        <v>88</v>
      </c>
      <c r="C44" s="20" t="s">
        <v>87</v>
      </c>
      <c r="D4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15">
        <v>165</v>
      </c>
      <c r="G44" s="15">
        <v>115</v>
      </c>
      <c r="H44" s="4" t="b">
        <v>0</v>
      </c>
      <c r="I44" s="5">
        <v>46176</v>
      </c>
      <c r="J44" s="4" t="b">
        <v>0</v>
      </c>
      <c r="K44" s="17">
        <v>46176</v>
      </c>
    </row>
    <row r="45" spans="1:28" ht="15.75" customHeight="1" x14ac:dyDescent="0.15">
      <c r="A45" s="13" t="s">
        <v>222</v>
      </c>
      <c r="B45" s="13" t="s">
        <v>89</v>
      </c>
      <c r="C45" s="20" t="s">
        <v>87</v>
      </c>
      <c r="D4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350</v>
      </c>
      <c r="G45" s="15">
        <v>245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223</v>
      </c>
      <c r="B46" s="13" t="s">
        <v>90</v>
      </c>
      <c r="C46" s="16" t="s">
        <v>91</v>
      </c>
      <c r="D4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9">
        <v>120</v>
      </c>
      <c r="G46" s="9">
        <v>84</v>
      </c>
      <c r="H46" s="4" t="b">
        <v>0</v>
      </c>
      <c r="I46" s="5">
        <v>46176</v>
      </c>
      <c r="J46" s="4" t="b">
        <v>0</v>
      </c>
      <c r="K46" s="17">
        <v>46176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 spans="1:28" ht="15.75" customHeight="1" x14ac:dyDescent="0.15">
      <c r="A47" s="13" t="s">
        <v>224</v>
      </c>
      <c r="B47" s="13" t="s">
        <v>92</v>
      </c>
      <c r="C47" s="14" t="s">
        <v>91</v>
      </c>
      <c r="D4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15">
        <v>165</v>
      </c>
      <c r="G47" s="15">
        <v>115</v>
      </c>
      <c r="H47" s="4" t="b">
        <v>0</v>
      </c>
      <c r="I47" s="5">
        <v>46176</v>
      </c>
      <c r="J47" s="4" t="b">
        <v>0</v>
      </c>
      <c r="K47" s="17">
        <v>46176</v>
      </c>
    </row>
    <row r="48" spans="1:28" ht="15.75" customHeight="1" x14ac:dyDescent="0.15">
      <c r="A48" s="13" t="s">
        <v>225</v>
      </c>
      <c r="B48" s="13" t="s">
        <v>93</v>
      </c>
      <c r="C48" s="14" t="s">
        <v>91</v>
      </c>
      <c r="D4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350</v>
      </c>
      <c r="G48" s="15">
        <v>245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226</v>
      </c>
      <c r="B49" s="13" t="s">
        <v>94</v>
      </c>
      <c r="C49" s="20" t="s">
        <v>95</v>
      </c>
      <c r="D4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9">
        <v>120</v>
      </c>
      <c r="G49" s="9">
        <v>84</v>
      </c>
      <c r="H49" s="4" t="b">
        <v>0</v>
      </c>
      <c r="I49" s="5">
        <v>46176</v>
      </c>
      <c r="J49" s="4" t="b">
        <v>0</v>
      </c>
      <c r="K49" s="17">
        <v>46176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 spans="1:28" ht="15.75" customHeight="1" x14ac:dyDescent="0.15">
      <c r="A50" s="13" t="s">
        <v>227</v>
      </c>
      <c r="B50" s="13" t="s">
        <v>96</v>
      </c>
      <c r="C50" s="20" t="s">
        <v>95</v>
      </c>
      <c r="D5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15">
        <v>165</v>
      </c>
      <c r="G50" s="15">
        <v>115</v>
      </c>
      <c r="H50" s="4" t="b">
        <v>0</v>
      </c>
      <c r="I50" s="5">
        <v>46176</v>
      </c>
      <c r="J50" s="4" t="b">
        <v>0</v>
      </c>
      <c r="K50" s="17">
        <v>46176</v>
      </c>
    </row>
    <row r="51" spans="1:28" ht="15.75" customHeight="1" x14ac:dyDescent="0.15">
      <c r="A51" s="13" t="s">
        <v>228</v>
      </c>
      <c r="B51" s="13" t="s">
        <v>97</v>
      </c>
      <c r="C51" s="20" t="s">
        <v>95</v>
      </c>
      <c r="D5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350</v>
      </c>
      <c r="G51" s="15">
        <v>245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229</v>
      </c>
      <c r="B52" s="13" t="s">
        <v>98</v>
      </c>
      <c r="C52" s="20" t="s">
        <v>99</v>
      </c>
      <c r="D5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9">
        <v>120</v>
      </c>
      <c r="G52" s="9">
        <v>84</v>
      </c>
      <c r="H52" s="4" t="b">
        <v>0</v>
      </c>
      <c r="I52" s="5">
        <v>46176</v>
      </c>
      <c r="J52" s="4" t="b">
        <v>0</v>
      </c>
      <c r="K52" s="17">
        <v>46176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 spans="1:28" ht="15.75" customHeight="1" x14ac:dyDescent="0.15">
      <c r="A53" s="13" t="s">
        <v>230</v>
      </c>
      <c r="B53" s="13" t="s">
        <v>100</v>
      </c>
      <c r="C53" s="20" t="s">
        <v>99</v>
      </c>
      <c r="D5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3" s="15">
        <v>165</v>
      </c>
      <c r="G53" s="15">
        <v>115</v>
      </c>
      <c r="H53" s="4" t="b">
        <v>0</v>
      </c>
      <c r="I53" s="5">
        <v>46176</v>
      </c>
      <c r="J53" s="4" t="b">
        <v>0</v>
      </c>
      <c r="K53" s="17">
        <v>46176</v>
      </c>
    </row>
    <row r="54" spans="1:28" ht="15.75" customHeight="1" x14ac:dyDescent="0.15">
      <c r="A54" s="13" t="s">
        <v>231</v>
      </c>
      <c r="B54" s="13" t="s">
        <v>101</v>
      </c>
      <c r="C54" s="20" t="s">
        <v>99</v>
      </c>
      <c r="D5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4" s="15">
        <v>350</v>
      </c>
      <c r="G54" s="15">
        <v>245</v>
      </c>
      <c r="H54" s="4" t="b">
        <v>0</v>
      </c>
      <c r="I54" s="5">
        <v>46176</v>
      </c>
      <c r="J54" s="4" t="b">
        <v>0</v>
      </c>
      <c r="K54" s="17">
        <v>46176</v>
      </c>
    </row>
    <row r="55" spans="1:28" ht="15.75" customHeight="1" x14ac:dyDescent="0.15">
      <c r="A55" s="13" t="s">
        <v>102</v>
      </c>
      <c r="B55" s="13" t="s">
        <v>103</v>
      </c>
      <c r="C55" s="25" t="s">
        <v>193</v>
      </c>
      <c r="D55" s="8" t="str">
        <f>CONCATENATE(Sheet2!$C$6, F55/10," Multiple-choice Quizzes |
| Paper Size | A4 Bond Paper |
| File Format | PDF (Typeset in LaTeX) |
| Price | ₱",IF(H55, G55, F55),"|", CHAR(10), CHAR(10),CHAR(10), L55, CHAR(10),CHAR(10),CHAR(10), "---",CHAR(10),CHAR(10), "📥 **I-fill out ang Order Form**",CHAR(10),CHAR(10), "{{&lt; iframe src=""", "https://cityofsmiles.github.io/auto-order-form/?id=", LOWER(A55), """ height=""850"" &gt;}}",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|9 Multiple-choice Quizzes |
| Paper Size | A4 Bond Paper |
| File Format | PDF (Typeset in LaTeX) |
| Price | ₱90|
---
📑 **Topics Covered**
**Quiz 1.01.1: Drawing Polygons by Side and Angle Measurements** (35 items)
  - Lesson 1.01.1: Drawing Regular Polygons by Side and Angle Measurements
  - Lesson 1.01.2: Drawing Irregular Polygons by Side and Angle Measurements
  - Lesson 1.01.3: Constructing Triangles, Quadrilaterals, and Regular Polygons
**Quiz 1.02.1: Relationships Between Angle Pairs** (35 items)  
  - Lesson 1.02.1: Relationships Between Angle Pairs
  - Lesson 1.02.2: Classifying Regular and Irregular Polygons
  - Lesson 1.02.3: Classifying Convex and Non-Convex Polygons
**Quiz 1.03.1: Exterior and Interior Angles of Polygons** (35 items)
  - Lesson 1.03.1: Exterior and Interior Angles of Polygons
  - Lesson 1.03.2: Finding Angle Measures of Polygons
  - Lesson 1.03.3: Determining the Number of Sides of Polygons
**Quiz 1.04.1: Percentage Increase and Decrease** (35 items)
  - Lesson 1.04.1: Percentage Increase
  - Lesson 1.04.2: Percentage Decrease
  - Lesson 1.04.3: Money Problems Involving Percentages
**Quiz 1.05.1: Creating a Financial Plan** (25 items)
  - Lesson 1.05.1: Creating a Financial Plan
**Quiz 1.06.1: Understanding Rates** (30 items)
  - Lesson 1.06.1: Understanding Rates
  - Lesson 1.06.2: Solving Problems Involving Rates
**Quiz 1.07.1: Representing Rational Numbers** (35 items)
  - Lesson 1.07.1: Representing Rational Numbers
  - Lesson 1.07.2: Ordering Rational Numbers on the Number Line
**Quiz 1.08.1: Operations on Rational Numbers** (25 items)  
  - Lesson 1.08.1: Adding Rational Numbers
  - Lesson 1.08.2: Subtracting Rational Numbers
  - Lesson 1.09.1: Multiplying Rational Numbers
  - Lesson 1.09.2: Dividing Rational Numbers
**Quiz 1.10.1: Square Roots, Cube Roots, and Irrational Numbers** (35 items)
  - Lesson 1.10.1: Square Roots of Perfect Squares
  - Lesson 1.10.2: Cube Roots of Perfect Cubes
  - Lesson 1.10.3: Irrational Numbers and Their Location on the Number Line
---
📥 **I-fill out ang Order Form**
{{&lt; iframe src="https://cityofsmiles.github.io/auto-order-form/?id=g7-t1-mq" height="850" &gt;}}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5" s="4"/>
      <c r="F55" s="9">
        <v>90</v>
      </c>
      <c r="G55" s="9">
        <v>80</v>
      </c>
      <c r="H55" s="4" t="b">
        <v>0</v>
      </c>
      <c r="I55" s="5">
        <v>46176</v>
      </c>
      <c r="J55" s="4" t="b">
        <v>1</v>
      </c>
      <c r="K55" s="17">
        <v>46176</v>
      </c>
      <c r="L55" s="24" t="s">
        <v>194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.75" customHeight="1" x14ac:dyDescent="0.15">
      <c r="A56" s="13" t="s">
        <v>104</v>
      </c>
      <c r="B56" s="13" t="s">
        <v>105</v>
      </c>
      <c r="C56" s="12" t="s">
        <v>106</v>
      </c>
      <c r="D56" s="8" t="str">
        <f>CONCATENATE(Sheet2!$C$6, F56/25," Multiple-choice Quizzes |
| Paper Size | A4 Bond Paper |
| File Format | PDF (Typeset in LaTeX) |
| Price | ₱",IF(H56, G56, F56),"|", CHAR(10),CHAR(10),CHAR(10), "---",CHAR(10),CHAR(10), "📥 **I-fill out ang Order Form**",CHAR(10),CHAR(10), "{{&lt; iframe src=""", "https://cityofsmiles.github.io/auto-order-form/?id=", LOWER(A56), """ height=""850"" &gt;}}", CHAR(10), CHAR(10),CHAR(10), L56,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6" s="4"/>
      <c r="F56" s="9">
        <v>150</v>
      </c>
      <c r="G56" s="9"/>
      <c r="H56" s="4" t="b">
        <v>0</v>
      </c>
      <c r="I56" s="5">
        <v>46176</v>
      </c>
      <c r="J56" s="4" t="b">
        <v>0</v>
      </c>
      <c r="K56" s="17">
        <v>46176</v>
      </c>
      <c r="L56" s="4" t="s">
        <v>107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5.75" customHeight="1" x14ac:dyDescent="0.15">
      <c r="A57" s="13" t="s">
        <v>108</v>
      </c>
      <c r="B57" s="13" t="s">
        <v>109</v>
      </c>
      <c r="C57" s="12" t="s">
        <v>110</v>
      </c>
      <c r="D57" s="8" t="str">
        <f>CONCATENATE(Sheet2!$C$6, F57/25," Multiple-choice Quizzes |
| Paper Size | A4 Bond Paper |
| File Format | PDF (Typeset in LaTeX) |
| Price | ₱",IF(H57, G57, F57),"|", CHAR(10),CHAR(10),CHAR(10), "---",CHAR(10),CHAR(10), "📥 **I-fill out ang Order Form**",CHAR(10),CHAR(10), "{{&lt; iframe src=""", "https://cityofsmiles.github.io/auto-order-form/?id=", LOWER(A57), """ height=""850"" &gt;}}", CHAR(10), CHAR(10),CHAR(10), L57,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|4 Multiple-choice Quizzes |
| Paper Size | A4 Bond Paper |
| File Format | PDF (Typeset in LaTeX) |
| Price | ₱100|
---
📥 **I-fill out ang Order Form**
{{&lt; iframe src="https://cityofsmiles.github.io/auto-order-form/?id=g9-t1-mq" height="850" &gt;}}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7" s="4"/>
      <c r="F57" s="9">
        <v>100</v>
      </c>
      <c r="G57" s="9"/>
      <c r="H57" s="4" t="b">
        <v>0</v>
      </c>
      <c r="I57" s="5">
        <v>46176</v>
      </c>
      <c r="J57" s="4" t="b">
        <v>0</v>
      </c>
      <c r="K57" s="17">
        <v>46176</v>
      </c>
      <c r="L57" s="4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 spans="1:28" ht="15.75" customHeight="1" x14ac:dyDescent="0.15">
      <c r="A58" s="13" t="s">
        <v>111</v>
      </c>
      <c r="B58" s="13" t="s">
        <v>112</v>
      </c>
      <c r="C58" s="12" t="s">
        <v>113</v>
      </c>
      <c r="D58" s="8" t="str">
        <f>CONCATENATE(Sheet2!$C$6, F58/25," Multiple-choice Quizzes |
| Paper Size | A4 Bond Paper |
| File Format | PDF (Typeset in LaTeX) |
| Price | ₱",IF(H58, G58, F58),"|", CHAR(10),CHAR(10),CHAR(10), "---",CHAR(10),CHAR(10), "📥 **I-fill out ang Order Form**",CHAR(10),CHAR(10), "{{&lt; iframe src=""", "https://cityofsmiles.github.io/auto-order-form/?id=", LOWER(A58), """ height=""850"" &gt;}}", CHAR(10), CHAR(10),CHAR(10), L58,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Summative test at Term Exam. 
---
 📑 **Product Details**
| Feature | Details |
|---|---|
| Content |4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8" s="4"/>
      <c r="F58" s="9">
        <v>100</v>
      </c>
      <c r="G58" s="9"/>
      <c r="H58" s="4" t="b">
        <v>0</v>
      </c>
      <c r="I58" s="5">
        <v>46176</v>
      </c>
      <c r="J58" s="4" t="b">
        <v>0</v>
      </c>
      <c r="K58" s="17">
        <v>46176</v>
      </c>
      <c r="L58" s="4" t="s">
        <v>114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2.75" x14ac:dyDescent="0.15">
      <c r="F59" s="19"/>
      <c r="G59" s="19"/>
    </row>
    <row r="60" spans="1:28" ht="15.75" customHeight="1" x14ac:dyDescent="0.15">
      <c r="A60" s="11" t="s">
        <v>115</v>
      </c>
      <c r="B60" s="11" t="s">
        <v>116</v>
      </c>
      <c r="C60" s="16" t="s">
        <v>117</v>
      </c>
      <c r="D6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0" s="9">
        <v>120</v>
      </c>
      <c r="G60" s="9">
        <v>84</v>
      </c>
      <c r="H60" s="4" t="b">
        <v>0</v>
      </c>
      <c r="I60" s="5">
        <v>46176</v>
      </c>
      <c r="J60" s="4" t="b">
        <v>0</v>
      </c>
      <c r="K60" s="17">
        <v>46176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 spans="1:28" ht="15.75" customHeight="1" x14ac:dyDescent="0.15">
      <c r="A61" s="11" t="s">
        <v>115</v>
      </c>
      <c r="B61" s="13" t="s">
        <v>118</v>
      </c>
      <c r="C61" s="14" t="s">
        <v>117</v>
      </c>
      <c r="D6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1" s="15">
        <v>165</v>
      </c>
      <c r="G61" s="15">
        <v>115</v>
      </c>
      <c r="H61" s="4" t="b">
        <v>0</v>
      </c>
      <c r="I61" s="5">
        <v>46176</v>
      </c>
      <c r="J61" s="4" t="b">
        <v>0</v>
      </c>
      <c r="K61" s="17">
        <v>46176</v>
      </c>
    </row>
    <row r="62" spans="1:28" ht="15.75" customHeight="1" x14ac:dyDescent="0.15">
      <c r="A62" s="11" t="s">
        <v>115</v>
      </c>
      <c r="B62" s="13" t="s">
        <v>119</v>
      </c>
      <c r="C62" s="14" t="s">
        <v>117</v>
      </c>
      <c r="D6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2" s="15">
        <v>350</v>
      </c>
      <c r="G62" s="15">
        <v>245</v>
      </c>
      <c r="H62" s="4" t="b">
        <v>0</v>
      </c>
      <c r="I62" s="5">
        <v>46176</v>
      </c>
      <c r="J62" s="4" t="b">
        <v>0</v>
      </c>
      <c r="K62" s="17">
        <v>46176</v>
      </c>
    </row>
    <row r="63" spans="1:28" ht="15.75" customHeight="1" x14ac:dyDescent="0.15">
      <c r="A63" s="11" t="s">
        <v>115</v>
      </c>
      <c r="B63" s="13" t="s">
        <v>120</v>
      </c>
      <c r="C63" s="16" t="s">
        <v>121</v>
      </c>
      <c r="D6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3" s="9">
        <v>120</v>
      </c>
      <c r="G63" s="9">
        <v>84</v>
      </c>
      <c r="H63" s="4" t="b">
        <v>0</v>
      </c>
      <c r="I63" s="5">
        <v>46176</v>
      </c>
      <c r="J63" s="4" t="b">
        <v>0</v>
      </c>
      <c r="K63" s="17">
        <v>46176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 spans="1:28" ht="15.75" customHeight="1" x14ac:dyDescent="0.15">
      <c r="A64" s="11" t="s">
        <v>115</v>
      </c>
      <c r="B64" s="13" t="s">
        <v>122</v>
      </c>
      <c r="C64" s="14" t="s">
        <v>121</v>
      </c>
      <c r="D6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15">
        <v>165</v>
      </c>
      <c r="G64" s="15">
        <v>115</v>
      </c>
      <c r="H64" s="4" t="b">
        <v>0</v>
      </c>
      <c r="I64" s="5">
        <v>46176</v>
      </c>
      <c r="J64" s="4" t="b">
        <v>0</v>
      </c>
      <c r="K64" s="17">
        <v>46176</v>
      </c>
    </row>
    <row r="65" spans="1:28" ht="15.75" customHeight="1" x14ac:dyDescent="0.15">
      <c r="A65" s="11" t="s">
        <v>115</v>
      </c>
      <c r="B65" s="13" t="s">
        <v>123</v>
      </c>
      <c r="C65" s="14" t="s">
        <v>121</v>
      </c>
      <c r="D6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350</v>
      </c>
      <c r="G65" s="15">
        <v>245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115</v>
      </c>
      <c r="B66" s="13" t="s">
        <v>124</v>
      </c>
      <c r="C66" s="16" t="s">
        <v>125</v>
      </c>
      <c r="D6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9">
        <v>120</v>
      </c>
      <c r="G66" s="9">
        <v>84</v>
      </c>
      <c r="H66" s="4" t="b">
        <v>0</v>
      </c>
      <c r="I66" s="5">
        <v>46176</v>
      </c>
      <c r="J66" s="4" t="b">
        <v>0</v>
      </c>
      <c r="K66" s="17">
        <v>46176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 spans="1:28" ht="15.75" customHeight="1" x14ac:dyDescent="0.15">
      <c r="A67" s="11" t="s">
        <v>115</v>
      </c>
      <c r="B67" s="13" t="s">
        <v>126</v>
      </c>
      <c r="C67" s="14" t="s">
        <v>125</v>
      </c>
      <c r="D6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15">
        <v>165</v>
      </c>
      <c r="G67" s="15">
        <v>115</v>
      </c>
      <c r="H67" s="4" t="b">
        <v>0</v>
      </c>
      <c r="I67" s="5">
        <v>46176</v>
      </c>
      <c r="J67" s="4" t="b">
        <v>0</v>
      </c>
      <c r="K67" s="17">
        <v>46176</v>
      </c>
    </row>
    <row r="68" spans="1:28" ht="15.75" customHeight="1" x14ac:dyDescent="0.15">
      <c r="A68" s="11" t="s">
        <v>115</v>
      </c>
      <c r="B68" s="13" t="s">
        <v>127</v>
      </c>
      <c r="C68" s="14" t="s">
        <v>125</v>
      </c>
      <c r="D6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350</v>
      </c>
      <c r="G68" s="15">
        <v>245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115</v>
      </c>
      <c r="B69" s="13" t="s">
        <v>128</v>
      </c>
      <c r="C69" s="16" t="s">
        <v>129</v>
      </c>
      <c r="D6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9">
        <v>120</v>
      </c>
      <c r="G69" s="9">
        <v>84</v>
      </c>
      <c r="H69" s="4" t="b">
        <v>0</v>
      </c>
      <c r="I69" s="5">
        <v>46176</v>
      </c>
      <c r="J69" s="4" t="b">
        <v>0</v>
      </c>
      <c r="K69" s="17">
        <v>46176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 spans="1:28" ht="15.75" customHeight="1" x14ac:dyDescent="0.15">
      <c r="A70" s="11" t="s">
        <v>115</v>
      </c>
      <c r="B70" s="13" t="s">
        <v>130</v>
      </c>
      <c r="C70" s="14" t="s">
        <v>129</v>
      </c>
      <c r="D7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15">
        <v>165</v>
      </c>
      <c r="G70" s="15">
        <v>115</v>
      </c>
      <c r="H70" s="4" t="b">
        <v>0</v>
      </c>
      <c r="I70" s="5">
        <v>46176</v>
      </c>
      <c r="J70" s="4" t="b">
        <v>0</v>
      </c>
      <c r="K70" s="17">
        <v>46176</v>
      </c>
    </row>
    <row r="71" spans="1:28" ht="15.75" customHeight="1" x14ac:dyDescent="0.15">
      <c r="A71" s="11" t="s">
        <v>115</v>
      </c>
      <c r="B71" s="13" t="s">
        <v>131</v>
      </c>
      <c r="C71" s="14" t="s">
        <v>129</v>
      </c>
      <c r="D7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350</v>
      </c>
      <c r="G71" s="15">
        <v>245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115</v>
      </c>
      <c r="B72" s="13" t="s">
        <v>132</v>
      </c>
      <c r="C72" s="16" t="s">
        <v>133</v>
      </c>
      <c r="D7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9">
        <v>120</v>
      </c>
      <c r="G72" s="9">
        <v>84</v>
      </c>
      <c r="H72" s="4" t="b">
        <v>0</v>
      </c>
      <c r="I72" s="5">
        <v>46176</v>
      </c>
      <c r="J72" s="4" t="b">
        <v>0</v>
      </c>
      <c r="K72" s="17">
        <v>46176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 spans="1:28" ht="15.75" customHeight="1" x14ac:dyDescent="0.15">
      <c r="A73" s="11" t="s">
        <v>115</v>
      </c>
      <c r="B73" s="13" t="s">
        <v>134</v>
      </c>
      <c r="C73" s="14" t="s">
        <v>133</v>
      </c>
      <c r="D7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15">
        <v>165</v>
      </c>
      <c r="G73" s="15">
        <v>115</v>
      </c>
      <c r="H73" s="4" t="b">
        <v>0</v>
      </c>
      <c r="I73" s="5">
        <v>46176</v>
      </c>
      <c r="J73" s="4" t="b">
        <v>0</v>
      </c>
      <c r="K73" s="17">
        <v>46176</v>
      </c>
    </row>
    <row r="74" spans="1:28" ht="15.75" customHeight="1" x14ac:dyDescent="0.15">
      <c r="A74" s="11" t="s">
        <v>115</v>
      </c>
      <c r="B74" s="13" t="s">
        <v>135</v>
      </c>
      <c r="C74" s="14" t="s">
        <v>133</v>
      </c>
      <c r="D7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350</v>
      </c>
      <c r="G74" s="15">
        <v>245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3" t="s">
        <v>232</v>
      </c>
      <c r="B75" s="13" t="s">
        <v>136</v>
      </c>
      <c r="C75" s="16" t="s">
        <v>137</v>
      </c>
      <c r="D7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9">
        <v>120</v>
      </c>
      <c r="G75" s="9">
        <v>84</v>
      </c>
      <c r="H75" s="4" t="b">
        <v>0</v>
      </c>
      <c r="I75" s="5">
        <v>46176</v>
      </c>
      <c r="J75" s="4" t="b">
        <v>0</v>
      </c>
      <c r="K75" s="17">
        <v>46176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 spans="1:28" ht="15.75" customHeight="1" x14ac:dyDescent="0.15">
      <c r="A76" s="13" t="s">
        <v>233</v>
      </c>
      <c r="B76" s="13" t="s">
        <v>138</v>
      </c>
      <c r="C76" s="14" t="s">
        <v>137</v>
      </c>
      <c r="D7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15">
        <v>165</v>
      </c>
      <c r="G76" s="15">
        <v>115</v>
      </c>
      <c r="H76" s="4" t="b">
        <v>0</v>
      </c>
      <c r="I76" s="5">
        <v>46176</v>
      </c>
      <c r="J76" s="4" t="b">
        <v>0</v>
      </c>
      <c r="K76" s="17">
        <v>46176</v>
      </c>
    </row>
    <row r="77" spans="1:28" ht="15.75" customHeight="1" x14ac:dyDescent="0.15">
      <c r="A77" s="13" t="s">
        <v>234</v>
      </c>
      <c r="B77" s="13" t="s">
        <v>139</v>
      </c>
      <c r="C77" s="14" t="s">
        <v>137</v>
      </c>
      <c r="D7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350</v>
      </c>
      <c r="G77" s="15">
        <v>245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3" t="s">
        <v>235</v>
      </c>
      <c r="B78" s="13" t="s">
        <v>140</v>
      </c>
      <c r="C78" s="16" t="s">
        <v>141</v>
      </c>
      <c r="D7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9">
        <v>120</v>
      </c>
      <c r="G78" s="9">
        <v>84</v>
      </c>
      <c r="H78" s="4" t="b">
        <v>0</v>
      </c>
      <c r="I78" s="5">
        <v>46176</v>
      </c>
      <c r="J78" s="4" t="b">
        <v>0</v>
      </c>
      <c r="K78" s="17">
        <v>46176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 spans="1:28" ht="15.75" customHeight="1" x14ac:dyDescent="0.15">
      <c r="A79" s="13" t="s">
        <v>236</v>
      </c>
      <c r="B79" s="13" t="s">
        <v>142</v>
      </c>
      <c r="C79" s="14" t="s">
        <v>141</v>
      </c>
      <c r="D7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15">
        <v>165</v>
      </c>
      <c r="G79" s="15">
        <v>115</v>
      </c>
      <c r="H79" s="4" t="b">
        <v>0</v>
      </c>
      <c r="I79" s="5">
        <v>46176</v>
      </c>
      <c r="J79" s="4" t="b">
        <v>0</v>
      </c>
      <c r="K79" s="17">
        <v>46176</v>
      </c>
    </row>
    <row r="80" spans="1:28" ht="15.75" customHeight="1" x14ac:dyDescent="0.15">
      <c r="A80" s="13" t="s">
        <v>237</v>
      </c>
      <c r="B80" s="13" t="s">
        <v>143</v>
      </c>
      <c r="C80" s="14" t="s">
        <v>141</v>
      </c>
      <c r="D8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350</v>
      </c>
      <c r="G80" s="15">
        <v>245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28" ht="15.75" customHeight="1" x14ac:dyDescent="0.15">
      <c r="A81" s="13" t="s">
        <v>238</v>
      </c>
      <c r="B81" s="13" t="s">
        <v>144</v>
      </c>
      <c r="C81" s="18" t="s">
        <v>145</v>
      </c>
      <c r="D8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9">
        <v>120</v>
      </c>
      <c r="G81" s="9">
        <v>84</v>
      </c>
      <c r="H81" s="4" t="b">
        <v>0</v>
      </c>
      <c r="I81" s="5">
        <v>46176</v>
      </c>
      <c r="J81" s="4" t="b">
        <v>0</v>
      </c>
      <c r="K81" s="17">
        <v>46176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 spans="1:28" ht="15.75" customHeight="1" x14ac:dyDescent="0.15">
      <c r="A82" s="13" t="s">
        <v>239</v>
      </c>
      <c r="B82" s="13" t="s">
        <v>146</v>
      </c>
      <c r="C82" s="18" t="s">
        <v>145</v>
      </c>
      <c r="D8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2" s="15">
        <v>165</v>
      </c>
      <c r="G82" s="15">
        <v>115</v>
      </c>
      <c r="H82" s="4" t="b">
        <v>0</v>
      </c>
      <c r="I82" s="5">
        <v>46176</v>
      </c>
      <c r="J82" s="4" t="b">
        <v>0</v>
      </c>
      <c r="K82" s="17">
        <v>46176</v>
      </c>
    </row>
    <row r="83" spans="1:28" ht="15.75" customHeight="1" x14ac:dyDescent="0.15">
      <c r="A83" s="13" t="s">
        <v>240</v>
      </c>
      <c r="B83" s="13" t="s">
        <v>147</v>
      </c>
      <c r="C83" s="18" t="s">
        <v>145</v>
      </c>
      <c r="D8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3" s="15">
        <v>350</v>
      </c>
      <c r="G83" s="15">
        <v>245</v>
      </c>
      <c r="H83" s="4" t="b">
        <v>0</v>
      </c>
      <c r="I83" s="5">
        <v>46176</v>
      </c>
      <c r="J83" s="4" t="b">
        <v>0</v>
      </c>
      <c r="K83" s="17">
        <v>46176</v>
      </c>
    </row>
    <row r="84" spans="1:28" ht="12.75" x14ac:dyDescent="0.15">
      <c r="F84" s="19"/>
      <c r="G84" s="19"/>
    </row>
    <row r="85" spans="1:28" ht="12.75" x14ac:dyDescent="0.15">
      <c r="F85" s="19"/>
      <c r="G85" s="19"/>
    </row>
    <row r="86" spans="1:28" ht="12.75" x14ac:dyDescent="0.15">
      <c r="F86" s="19"/>
      <c r="G86" s="19"/>
    </row>
    <row r="87" spans="1:28" ht="12.75" x14ac:dyDescent="0.15">
      <c r="F87" s="19"/>
      <c r="G87" s="19"/>
    </row>
    <row r="88" spans="1:28" ht="12.75" x14ac:dyDescent="0.15">
      <c r="F88" s="19"/>
      <c r="G88" s="19"/>
    </row>
    <row r="89" spans="1:28" ht="12.75" x14ac:dyDescent="0.15">
      <c r="F89" s="19"/>
      <c r="G89" s="19"/>
    </row>
    <row r="90" spans="1:28" ht="12.75" x14ac:dyDescent="0.15">
      <c r="F90" s="19"/>
      <c r="G90" s="19"/>
    </row>
    <row r="91" spans="1:28" ht="12.75" x14ac:dyDescent="0.15">
      <c r="F91" s="19"/>
      <c r="G91" s="19"/>
    </row>
    <row r="92" spans="1:28" ht="12.75" x14ac:dyDescent="0.15">
      <c r="F92" s="19"/>
      <c r="G92" s="19"/>
    </row>
    <row r="93" spans="1:28" ht="12.75" x14ac:dyDescent="0.15">
      <c r="F93" s="19"/>
      <c r="G93" s="19"/>
    </row>
    <row r="94" spans="1:28" ht="12.75" x14ac:dyDescent="0.15">
      <c r="F94" s="19"/>
      <c r="G94" s="19"/>
    </row>
    <row r="95" spans="1:28" ht="12.75" x14ac:dyDescent="0.15">
      <c r="F95" s="19"/>
      <c r="G95" s="19"/>
    </row>
    <row r="96" spans="1:28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  <row r="983" spans="6:7" ht="12.75" x14ac:dyDescent="0.15">
      <c r="F983" s="19"/>
      <c r="G983" s="19"/>
    </row>
    <row r="984" spans="6:7" ht="12.75" x14ac:dyDescent="0.15">
      <c r="F984" s="19"/>
      <c r="G984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31" r:id="rId26" xr:uid="{00000000-0004-0000-0000-00003A000000}"/>
    <hyperlink ref="C32" r:id="rId27" xr:uid="{00000000-0004-0000-0000-00003B000000}"/>
    <hyperlink ref="C38" r:id="rId28" xr:uid="{00000000-0004-0000-0000-00003D000000}"/>
    <hyperlink ref="C39" r:id="rId29" xr:uid="{00000000-0004-0000-0000-00003E000000}"/>
    <hyperlink ref="C40" r:id="rId30" xr:uid="{00000000-0004-0000-0000-00003F000000}"/>
    <hyperlink ref="C41" r:id="rId31" xr:uid="{00000000-0004-0000-0000-000040000000}"/>
    <hyperlink ref="C42" r:id="rId32" xr:uid="{00000000-0004-0000-0000-000041000000}"/>
    <hyperlink ref="C43" r:id="rId33" xr:uid="{00000000-0004-0000-0000-000042000000}"/>
    <hyperlink ref="C44" r:id="rId34" xr:uid="{00000000-0004-0000-0000-000043000000}"/>
    <hyperlink ref="C45" r:id="rId35" xr:uid="{00000000-0004-0000-0000-000044000000}"/>
    <hyperlink ref="C49" r:id="rId36" xr:uid="{00000000-0004-0000-0000-000045000000}"/>
    <hyperlink ref="C50" r:id="rId37" xr:uid="{00000000-0004-0000-0000-000046000000}"/>
    <hyperlink ref="C51" r:id="rId38" xr:uid="{00000000-0004-0000-0000-000047000000}"/>
    <hyperlink ref="C52" r:id="rId39" xr:uid="{00000000-0004-0000-0000-000048000000}"/>
    <hyperlink ref="C53" r:id="rId40" xr:uid="{00000000-0004-0000-0000-000049000000}"/>
    <hyperlink ref="C54" r:id="rId41" xr:uid="{00000000-0004-0000-0000-00004A000000}"/>
    <hyperlink ref="C55" r:id="rId42" xr:uid="{00000000-0004-0000-0000-00004B000000}"/>
    <hyperlink ref="C56" r:id="rId43" xr:uid="{00000000-0004-0000-0000-00004C000000}"/>
    <hyperlink ref="C57" r:id="rId44" xr:uid="{00000000-0004-0000-0000-00004D000000}"/>
    <hyperlink ref="C58" r:id="rId45" xr:uid="{00000000-0004-0000-0000-00004E000000}"/>
    <hyperlink ref="C60" r:id="rId46" xr:uid="{00000000-0004-0000-0000-00004F000000}"/>
    <hyperlink ref="C61" r:id="rId47" xr:uid="{00000000-0004-0000-0000-000050000000}"/>
    <hyperlink ref="C62" r:id="rId48" xr:uid="{00000000-0004-0000-0000-000051000000}"/>
    <hyperlink ref="C63" r:id="rId49" xr:uid="{00000000-0004-0000-0000-000052000000}"/>
    <hyperlink ref="C64" r:id="rId50" xr:uid="{00000000-0004-0000-0000-000053000000}"/>
    <hyperlink ref="C65" r:id="rId51" xr:uid="{00000000-0004-0000-0000-000054000000}"/>
    <hyperlink ref="C66" r:id="rId52" xr:uid="{00000000-0004-0000-0000-000055000000}"/>
    <hyperlink ref="C67" r:id="rId53" xr:uid="{00000000-0004-0000-0000-000056000000}"/>
    <hyperlink ref="C68" r:id="rId54" xr:uid="{00000000-0004-0000-0000-000057000000}"/>
    <hyperlink ref="C69" r:id="rId55" xr:uid="{00000000-0004-0000-0000-000058000000}"/>
    <hyperlink ref="C70" r:id="rId56" xr:uid="{00000000-0004-0000-0000-000059000000}"/>
    <hyperlink ref="C71" r:id="rId57" xr:uid="{00000000-0004-0000-0000-00005A000000}"/>
    <hyperlink ref="C72" r:id="rId58" xr:uid="{00000000-0004-0000-0000-00005B000000}"/>
    <hyperlink ref="C73" r:id="rId59" xr:uid="{00000000-0004-0000-0000-00005C000000}"/>
    <hyperlink ref="C74" r:id="rId60" xr:uid="{00000000-0004-0000-0000-00005D000000}"/>
    <hyperlink ref="C75" r:id="rId61" xr:uid="{00000000-0004-0000-0000-00005E000000}"/>
    <hyperlink ref="C76" r:id="rId62" xr:uid="{00000000-0004-0000-0000-00005F000000}"/>
    <hyperlink ref="C77" r:id="rId63" xr:uid="{00000000-0004-0000-0000-000060000000}"/>
    <hyperlink ref="C78" r:id="rId64" xr:uid="{00000000-0004-0000-0000-000061000000}"/>
    <hyperlink ref="C79" r:id="rId65" xr:uid="{00000000-0004-0000-0000-000062000000}"/>
    <hyperlink ref="C80" r:id="rId66" xr:uid="{00000000-0004-0000-0000-000063000000}"/>
    <hyperlink ref="C81" r:id="rId67" xr:uid="{00000000-0004-0000-0000-000064000000}"/>
    <hyperlink ref="C82" r:id="rId68" xr:uid="{00000000-0004-0000-0000-000065000000}"/>
    <hyperlink ref="C83" r:id="rId69" xr:uid="{00000000-0004-0000-0000-000066000000}"/>
    <hyperlink ref="C30" r:id="rId70" xr:uid="{C3D8895E-36F9-C446-9032-98D1DBA560B2}"/>
    <hyperlink ref="C36" r:id="rId71" xr:uid="{01D04C71-5B69-CD49-B99C-9F3396BA5C94}"/>
    <hyperlink ref="C37" r:id="rId72" xr:uid="{993E0396-71F4-7543-B9D1-2323DD4B1A4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45"/>
  <sheetViews>
    <sheetView topLeftCell="A4" workbookViewId="0">
      <selection activeCell="D21" sqref="D21"/>
    </sheetView>
  </sheetViews>
  <sheetFormatPr defaultColWidth="12.67578125" defaultRowHeight="15.75" customHeight="1" x14ac:dyDescent="0.15"/>
  <sheetData>
    <row r="1" spans="1:10" ht="12.75" x14ac:dyDescent="0.15">
      <c r="A1" s="1" t="s">
        <v>148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</row>
    <row r="2" spans="1:10" ht="59.25" customHeight="1" x14ac:dyDescent="0.15">
      <c r="A2" s="1" t="s">
        <v>154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</row>
    <row r="5" spans="1:10" ht="12.75" x14ac:dyDescent="0.15">
      <c r="A5" s="1" t="s">
        <v>160</v>
      </c>
      <c r="B5" s="1" t="s">
        <v>161</v>
      </c>
      <c r="C5" s="1" t="s">
        <v>162</v>
      </c>
      <c r="D5" s="1" t="s">
        <v>163</v>
      </c>
    </row>
    <row r="6" spans="1:10" ht="16.5" customHeight="1" x14ac:dyDescent="0.15">
      <c r="A6" s="1" t="s">
        <v>164</v>
      </c>
      <c r="B6" s="1" t="s">
        <v>165</v>
      </c>
      <c r="C6" s="24" t="s">
        <v>195</v>
      </c>
      <c r="D6" s="24" t="str">
        <f>CONCATENATE("
---
Salamat sa pagsuporta sa **TeXMathPro, KasaMath**! Kung may tanong o suggestion ka, [kontakin mo lang ako](mailto:texmathpro@gmail.com).")</f>
        <v xml:space="preserve">
---
Salamat sa pagsuporta sa **TeXMathPro, KasaMath**! Kung may tanong o suggestion ka, [kontakin mo lang ako](mailto:texmathpro@gmail.com).</v>
      </c>
    </row>
    <row r="9" spans="1:10" ht="12.75" x14ac:dyDescent="0.15">
      <c r="B9" s="1" t="s">
        <v>166</v>
      </c>
      <c r="C9" s="1" t="s">
        <v>167</v>
      </c>
      <c r="D9" s="1" t="s">
        <v>168</v>
      </c>
      <c r="E9" s="1" t="s">
        <v>169</v>
      </c>
      <c r="F9" s="1" t="s">
        <v>170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171</v>
      </c>
      <c r="B10" s="3" t="s">
        <v>172</v>
      </c>
      <c r="C10" s="3" t="s">
        <v>173</v>
      </c>
      <c r="D10" s="3" t="s">
        <v>174</v>
      </c>
      <c r="E10" s="3" t="s">
        <v>175</v>
      </c>
      <c r="F10" s="1" t="b">
        <v>1</v>
      </c>
      <c r="G10" s="21" t="str">
        <f t="shared" ref="G10:G13" si="0"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1">IF(H$9,IF($F10, CONCATENATE("- [", C$9, " Handouts for the ",$A10, "](", C10, ")"), ""),"")</f>
        <v/>
      </c>
      <c r="I10" s="21" t="str">
        <f t="shared" ref="I10:I12" si="2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3">IF(H$9,IF($F10, CONCATENATE("- [", E$9, " Handouts for the ",$A10, "](", E10, ")"), ""),"")</f>
        <v/>
      </c>
    </row>
    <row r="11" spans="1:10" ht="12.75" x14ac:dyDescent="0.15">
      <c r="A11" s="1" t="s">
        <v>176</v>
      </c>
      <c r="B11" s="3" t="s">
        <v>177</v>
      </c>
      <c r="C11" s="3" t="s">
        <v>178</v>
      </c>
      <c r="D11" s="3" t="s">
        <v>179</v>
      </c>
      <c r="E11" s="3" t="s">
        <v>180</v>
      </c>
      <c r="F11" s="1" t="b">
        <v>0</v>
      </c>
      <c r="G11" s="21" t="str">
        <f t="shared" si="0"/>
        <v/>
      </c>
      <c r="H11" s="21" t="str">
        <f t="shared" si="1"/>
        <v/>
      </c>
      <c r="I11" s="21" t="str">
        <f t="shared" si="2"/>
        <v/>
      </c>
      <c r="J11" s="21" t="str">
        <f t="shared" si="3"/>
        <v/>
      </c>
    </row>
    <row r="12" spans="1:10" ht="12.75" x14ac:dyDescent="0.15">
      <c r="A12" s="1" t="s">
        <v>181</v>
      </c>
      <c r="B12" s="3" t="s">
        <v>182</v>
      </c>
      <c r="C12" s="3" t="s">
        <v>183</v>
      </c>
      <c r="D12" s="3" t="s">
        <v>184</v>
      </c>
      <c r="E12" s="3" t="s">
        <v>185</v>
      </c>
      <c r="F12" s="1" t="b">
        <v>0</v>
      </c>
      <c r="G12" s="21" t="str">
        <f t="shared" si="0"/>
        <v/>
      </c>
      <c r="H12" s="21" t="str">
        <f t="shared" si="1"/>
        <v/>
      </c>
      <c r="I12" s="21" t="str">
        <f t="shared" si="2"/>
        <v/>
      </c>
      <c r="J12" s="21" t="str">
        <f t="shared" si="3"/>
        <v/>
      </c>
    </row>
    <row r="13" spans="1:10" ht="12.75" x14ac:dyDescent="0.15">
      <c r="A13" s="1" t="s">
        <v>186</v>
      </c>
      <c r="B13" s="3" t="s">
        <v>187</v>
      </c>
      <c r="C13" s="3" t="s">
        <v>188</v>
      </c>
      <c r="D13" s="3" t="s">
        <v>189</v>
      </c>
      <c r="E13" s="3" t="s">
        <v>190</v>
      </c>
      <c r="F13" s="1" t="b">
        <v>0</v>
      </c>
      <c r="G13" s="21" t="str">
        <f t="shared" si="0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148</v>
      </c>
      <c r="B16" s="1" t="s">
        <v>149</v>
      </c>
      <c r="C16" s="1" t="s">
        <v>150</v>
      </c>
      <c r="D16" s="1" t="s">
        <v>264</v>
      </c>
      <c r="E16" s="1" t="s">
        <v>152</v>
      </c>
      <c r="F16" s="1" t="s">
        <v>153</v>
      </c>
    </row>
    <row r="17" spans="1:6" ht="33" customHeight="1" x14ac:dyDescent="0.15">
      <c r="A17" s="1" t="s">
        <v>154</v>
      </c>
      <c r="B17" s="1" t="s">
        <v>155</v>
      </c>
      <c r="C17" s="1" t="s">
        <v>156</v>
      </c>
      <c r="D17" s="10" t="str">
        <f>CONCATENATE(_xlfn._LONGTEXT("- Makakatipid ka sa oras kaya makakapaghabol pa ng lessons.  
- Maganda at consistent ang formatting ng test questions at figures.  
- Ready na ang answer key kaya mas madali at mabilis ang pagche-check.  
- Maaga kang makakapag-submit ng TOS sa head mo. "," 
- Ready-to-print exam: sakto sa Budget of Work ang covered topics  
- Table of Specifications (21st Century format)  
- Number of days: "), Sheet1!Q29," days  
- ", Sheet1!R29,_xlfn._LONGTEXT("-item Multiple Choice test with Answer Key  
- Para sa teachers na nagmamadali  
[![Sample TOS formatted using 21st Century Skills](https://res.cloudinary.com/dadubemrv/image/upload/v1768351176/tv5zwilsnzrad6r2q6sw.png)](https://res.cloudinary.com/dadube","mrv/image/upload/v1768351176/tv5zwilsnzrad6r2q6sw.png)
*Sample TOS formatted using 21st Century Skills*"))</f>
        <v>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</v>
      </c>
      <c r="E17" s="1" t="s">
        <v>158</v>
      </c>
      <c r="F17" s="10" t="s">
        <v>159</v>
      </c>
    </row>
    <row r="18" spans="1:6" ht="15.75" customHeight="1" x14ac:dyDescent="0.15">
      <c r="D18" s="10"/>
      <c r="F18" s="10" t="s">
        <v>159</v>
      </c>
    </row>
    <row r="19" spans="1:6" ht="15.75" customHeight="1" x14ac:dyDescent="0.15">
      <c r="D19" s="27"/>
    </row>
    <row r="22" spans="1:6" ht="15.75" customHeight="1" x14ac:dyDescent="0.15">
      <c r="A22" t="s">
        <v>201</v>
      </c>
      <c r="B22" t="s">
        <v>202</v>
      </c>
    </row>
    <row r="23" spans="1:6" ht="15.75" customHeight="1" x14ac:dyDescent="0.15">
      <c r="A23" t="s">
        <v>200</v>
      </c>
      <c r="B23" t="s">
        <v>205</v>
      </c>
    </row>
    <row r="24" spans="1:6" ht="15.75" customHeight="1" x14ac:dyDescent="0.15">
      <c r="A24" t="s">
        <v>203</v>
      </c>
      <c r="B24" t="s">
        <v>207</v>
      </c>
    </row>
    <row r="25" spans="1:6" ht="15.75" customHeight="1" x14ac:dyDescent="0.15">
      <c r="A25" t="s">
        <v>204</v>
      </c>
      <c r="B25" t="s">
        <v>206</v>
      </c>
    </row>
    <row r="26" spans="1:6" ht="15.75" customHeight="1" x14ac:dyDescent="0.15">
      <c r="A26" t="s">
        <v>241</v>
      </c>
      <c r="B26" t="s">
        <v>242</v>
      </c>
    </row>
    <row r="29" spans="1:6" ht="15.75" customHeight="1" x14ac:dyDescent="0.15">
      <c r="A29" t="s">
        <v>201</v>
      </c>
      <c r="B29" t="s">
        <v>243</v>
      </c>
    </row>
    <row r="30" spans="1:6" ht="15.75" customHeight="1" x14ac:dyDescent="0.15">
      <c r="A30" t="s">
        <v>244</v>
      </c>
      <c r="B30" t="s">
        <v>247</v>
      </c>
    </row>
    <row r="31" spans="1:6" ht="15.75" customHeight="1" x14ac:dyDescent="0.15">
      <c r="A31" t="s">
        <v>245</v>
      </c>
      <c r="B31" t="s">
        <v>248</v>
      </c>
    </row>
    <row r="32" spans="1:6" ht="15.75" customHeight="1" x14ac:dyDescent="0.15">
      <c r="A32" t="s">
        <v>246</v>
      </c>
      <c r="B32" t="s">
        <v>249</v>
      </c>
    </row>
    <row r="35" spans="1:2" ht="15.75" customHeight="1" x14ac:dyDescent="0.15">
      <c r="A35" t="s">
        <v>201</v>
      </c>
      <c r="B35" t="s">
        <v>250</v>
      </c>
    </row>
    <row r="36" spans="1:2" ht="15.75" customHeight="1" x14ac:dyDescent="0.15">
      <c r="A36" t="s">
        <v>251</v>
      </c>
      <c r="B36" t="s">
        <v>166</v>
      </c>
    </row>
    <row r="37" spans="1:2" ht="15.75" customHeight="1" x14ac:dyDescent="0.15">
      <c r="A37" t="s">
        <v>252</v>
      </c>
      <c r="B37" t="s">
        <v>167</v>
      </c>
    </row>
    <row r="38" spans="1:2" ht="15.75" customHeight="1" x14ac:dyDescent="0.15">
      <c r="A38" t="s">
        <v>253</v>
      </c>
      <c r="B38" t="s">
        <v>168</v>
      </c>
    </row>
    <row r="39" spans="1:2" ht="15.75" customHeight="1" x14ac:dyDescent="0.15">
      <c r="A39" t="s">
        <v>254</v>
      </c>
      <c r="B39" t="s">
        <v>169</v>
      </c>
    </row>
    <row r="42" spans="1:2" ht="15.75" customHeight="1" x14ac:dyDescent="0.15">
      <c r="A42" t="s">
        <v>201</v>
      </c>
      <c r="B42" t="s">
        <v>255</v>
      </c>
    </row>
    <row r="43" spans="1:2" ht="15.75" customHeight="1" x14ac:dyDescent="0.15">
      <c r="A43" t="s">
        <v>256</v>
      </c>
      <c r="B43" t="s">
        <v>259</v>
      </c>
    </row>
    <row r="44" spans="1:2" ht="15.75" customHeight="1" x14ac:dyDescent="0.15">
      <c r="A44" t="s">
        <v>257</v>
      </c>
      <c r="B44" t="s">
        <v>260</v>
      </c>
    </row>
    <row r="45" spans="1:2" ht="15.75" customHeight="1" x14ac:dyDescent="0.15">
      <c r="A45" t="s">
        <v>258</v>
      </c>
      <c r="B45" t="s">
        <v>261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