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xr:revisionPtr revIDLastSave="0" documentId="11_AD18A7FF5D797A4ED2F3013814DD2D3E1F1A077E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  <sheet name="Sheet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7" i="1" l="1"/>
  <c r="D66" i="1"/>
  <c r="O64" i="1" a="1"/>
  <c r="N64" i="1" a="1"/>
  <c r="M64" i="1" a="1"/>
  <c r="G64" i="1"/>
  <c r="F64" i="1"/>
  <c r="E64" i="1"/>
  <c r="D64" i="1"/>
  <c r="N65" i="1" a="1"/>
  <c r="O65" i="1" a="1"/>
  <c r="M65" i="1" a="1"/>
  <c r="F65" i="1"/>
  <c r="D65" i="1"/>
  <c r="G65" i="1"/>
  <c r="E65" i="1"/>
  <c r="N67" i="1" a="1"/>
  <c r="O67" i="1" a="1"/>
  <c r="M67" i="1" a="1"/>
  <c r="G67" i="1"/>
  <c r="N66" i="1" a="1"/>
  <c r="O66" i="1" a="1"/>
  <c r="M66" i="1" a="1"/>
  <c r="G66" i="1"/>
  <c r="D6" i="2"/>
  <c r="F66" i="1"/>
  <c r="E66" i="1"/>
  <c r="E67" i="1"/>
  <c r="F67" i="1"/>
  <c r="O68" i="1" a="1"/>
  <c r="N68" i="1" a="1"/>
  <c r="M68" i="1" a="1"/>
  <c r="G68" i="1"/>
  <c r="F68" i="1"/>
  <c r="E68" i="1"/>
  <c r="D68" i="1"/>
  <c r="G10" i="2"/>
  <c r="H10" i="2"/>
  <c r="I10" i="2"/>
  <c r="J10" i="2"/>
  <c r="J13" i="2"/>
  <c r="I13" i="2"/>
  <c r="H13" i="2"/>
  <c r="G13" i="2"/>
  <c r="J12" i="2"/>
  <c r="I12" i="2"/>
  <c r="H12" i="2"/>
  <c r="G12" i="2"/>
  <c r="J11" i="2"/>
  <c r="I11" i="2"/>
  <c r="H11" i="2"/>
  <c r="G11" i="2"/>
  <c r="E2" i="1"/>
  <c r="M69" i="1" a="1"/>
  <c r="N69" i="1" a="1"/>
  <c r="O69" i="1" a="1"/>
  <c r="F69" i="1"/>
  <c r="D69" i="1"/>
  <c r="G69" i="1"/>
  <c r="E69" i="1"/>
  <c r="M29" i="1" a="1"/>
  <c r="O29" i="1" a="1"/>
  <c r="P29" i="1" a="1"/>
  <c r="D17" i="2"/>
  <c r="D29" i="1"/>
  <c r="M55" i="1" a="1"/>
  <c r="O55" i="1" a="1"/>
  <c r="P55" i="1" a="1"/>
  <c r="F17" i="2"/>
  <c r="D55" i="1"/>
  <c r="M54" i="1" a="1"/>
  <c r="O54" i="1" a="1"/>
  <c r="P54" i="1" a="1"/>
  <c r="E17" i="2"/>
  <c r="D54" i="1"/>
  <c r="M53" i="1" a="1"/>
  <c r="O53" i="1" a="1"/>
  <c r="P53" i="1" a="1"/>
  <c r="D53" i="1"/>
  <c r="M49" i="1" a="1"/>
  <c r="O49" i="1" a="1"/>
  <c r="P49" i="1" a="1"/>
  <c r="D49" i="1"/>
  <c r="M48" i="1" a="1"/>
  <c r="O48" i="1" a="1"/>
  <c r="P48" i="1" a="1"/>
  <c r="D48" i="1"/>
  <c r="M31" i="1" a="1"/>
  <c r="O31" i="1" a="1"/>
  <c r="P31" i="1" a="1"/>
  <c r="D31" i="1"/>
  <c r="M47" i="1" a="1"/>
  <c r="O47" i="1" a="1"/>
  <c r="P47" i="1" a="1"/>
  <c r="D47" i="1"/>
  <c r="N55" i="1" a="1"/>
  <c r="N54" i="1" a="1"/>
  <c r="N53" i="1" a="1"/>
  <c r="N49" i="1" a="1"/>
  <c r="N48" i="1" a="1"/>
  <c r="N47" i="1" a="1"/>
  <c r="M40" i="1" a="1"/>
  <c r="O40" i="1" a="1"/>
  <c r="P40" i="1" a="1"/>
  <c r="D40" i="1"/>
  <c r="M43" i="1" a="1"/>
  <c r="O43" i="1" a="1"/>
  <c r="P43" i="1" a="1"/>
  <c r="D43" i="1"/>
  <c r="P42" i="1" a="1"/>
  <c r="O42" i="1" a="1"/>
  <c r="N42" i="1" a="1"/>
  <c r="M42" i="1" a="1"/>
  <c r="D42" i="1"/>
  <c r="M34" i="1" a="1"/>
  <c r="O34" i="1" a="1"/>
  <c r="P34" i="1" a="1"/>
  <c r="D34" i="1"/>
  <c r="P39" i="1" a="1"/>
  <c r="O39" i="1" a="1"/>
  <c r="N39" i="1" a="1"/>
  <c r="M39" i="1" a="1"/>
  <c r="D39" i="1"/>
  <c r="P33" i="1" a="1"/>
  <c r="O33" i="1" a="1"/>
  <c r="N33" i="1" a="1"/>
  <c r="M33" i="1" a="1"/>
  <c r="D33" i="1"/>
  <c r="P30" i="1" a="1"/>
  <c r="O30" i="1" a="1"/>
  <c r="N30" i="1" a="1"/>
  <c r="M30" i="1" a="1"/>
  <c r="D30" i="1"/>
  <c r="P41" i="1" a="1"/>
  <c r="O41" i="1" a="1"/>
  <c r="N41" i="1" a="1"/>
  <c r="M41" i="1" a="1"/>
  <c r="D41" i="1"/>
  <c r="P38" i="1" a="1"/>
  <c r="O38" i="1" a="1"/>
  <c r="N38" i="1" a="1"/>
  <c r="M38" i="1" a="1"/>
  <c r="D38" i="1"/>
  <c r="N29" i="1" a="1"/>
  <c r="P32" i="1" a="1"/>
  <c r="O32" i="1" a="1"/>
  <c r="N32" i="1" a="1"/>
  <c r="M32" i="1" a="1"/>
  <c r="D32" i="1"/>
  <c r="M61" i="1" a="1"/>
  <c r="D61" i="1"/>
  <c r="P61" i="1" a="1"/>
  <c r="O61" i="1" a="1"/>
  <c r="N61" i="1" a="1"/>
  <c r="M59" i="1" a="1"/>
  <c r="D59" i="1"/>
  <c r="P59" i="1" a="1"/>
  <c r="O59" i="1" a="1"/>
  <c r="N59" i="1" a="1"/>
  <c r="N40" i="1" a="1"/>
  <c r="N43" i="1" a="1"/>
  <c r="N31" i="1" a="1"/>
  <c r="D35" i="1"/>
  <c r="D36" i="1"/>
  <c r="D37" i="1"/>
  <c r="D44" i="1"/>
  <c r="D45" i="1"/>
  <c r="D46" i="1"/>
  <c r="D50" i="1"/>
  <c r="D51" i="1"/>
  <c r="D52" i="1"/>
  <c r="D56" i="1"/>
  <c r="D57" i="1"/>
  <c r="D58" i="1"/>
  <c r="D60" i="1"/>
  <c r="D62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N34" i="1" a="1"/>
  <c r="E92" i="1"/>
  <c r="D92" i="1"/>
  <c r="E91" i="1"/>
  <c r="D91" i="1"/>
  <c r="E90" i="1"/>
  <c r="D90" i="1"/>
  <c r="E89" i="1"/>
  <c r="D89" i="1"/>
  <c r="E88" i="1"/>
  <c r="D88" i="1"/>
  <c r="E87" i="1"/>
  <c r="D87" i="1"/>
  <c r="E86" i="1"/>
  <c r="D86" i="1"/>
  <c r="E85" i="1"/>
  <c r="D85" i="1"/>
  <c r="E84" i="1"/>
  <c r="D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8" i="1"/>
  <c r="D18" i="1"/>
  <c r="E17" i="1"/>
  <c r="D17" i="1"/>
  <c r="E16" i="1"/>
  <c r="D16" i="1"/>
  <c r="E15" i="1"/>
  <c r="D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<sst xmlns="http://schemas.openxmlformats.org/spreadsheetml/2006/main" count="397" uniqueCount="289">
  <si>
    <t>ProductID</t>
  </si>
  <si>
    <t>Title</t>
  </si>
  <si>
    <t>Photo</t>
  </si>
  <si>
    <t>BodyRegular</t>
  </si>
  <si>
    <t>BodyDiscounted</t>
  </si>
  <si>
    <t>PriceRegular</t>
  </si>
  <si>
    <t>PriceDiscounted</t>
  </si>
  <si>
    <t>IsDiscounted</t>
  </si>
  <si>
    <t>DiscountedUntil</t>
  </si>
  <si>
    <t>IsPublished</t>
  </si>
  <si>
    <t>LastModified</t>
  </si>
  <si>
    <t>GA-QA-HP</t>
  </si>
  <si>
    <t xml:space="preserve">Printable Handouts for Grades 7 and 9
</t>
  </si>
  <si>
    <t>https://res.cloudinary.com/dadubemrv/image/upload/v1771470535/pv600hy73vw3w5yfrdrm.jpg</t>
  </si>
  <si>
    <t>G7-T3-S1-BP</t>
  </si>
  <si>
    <t>Grade 7 T3 First Summative Test + TOS + Answer Key (Basic)</t>
  </si>
  <si>
    <t>https://i.imgur.com/DKwxWes.jpeg</t>
  </si>
  <si>
    <t>G7-T3-S1-SP</t>
  </si>
  <si>
    <t>Grade 7 T3 First Summative Test + TOS + Answer Key (Standard)</t>
  </si>
  <si>
    <t>G8-T3-S1-BP</t>
  </si>
  <si>
    <t>Grade 8 T3 First Summative Test + TOS + Answer Key (Basic)</t>
  </si>
  <si>
    <t>https://i.imgur.com/taq0wC7.jpeg</t>
  </si>
  <si>
    <t>G8-T3-S1-SP</t>
  </si>
  <si>
    <t>Grade 8 T3 First Summative Test + TOS + Answer Key (Standard)</t>
  </si>
  <si>
    <t>G9-T3-S1-BP</t>
  </si>
  <si>
    <t>Grade 9 T3 First Summative Test + TOS + Answer Key (Basic)</t>
  </si>
  <si>
    <t>https://i.imgur.com/GzJQ9w9.jpeg</t>
  </si>
  <si>
    <t>G9-T3-S1-SP</t>
  </si>
  <si>
    <t>Grade 9 T3 First Summative Test + TOS + Answer Key (Standard)</t>
  </si>
  <si>
    <t>G10-T3-S1-BP</t>
  </si>
  <si>
    <t>Grade 10 T3 First Summative Test + TOS + Answer Key (Basic)</t>
  </si>
  <si>
    <t>https://i.imgur.com/IXUG78E.jpeg</t>
  </si>
  <si>
    <t>G10-T3-S1-SP</t>
  </si>
  <si>
    <t>Grade 10 T3 First Summative Test + TOS + Answer Key (Standard)</t>
  </si>
  <si>
    <t>https://i.imgur.com/TYIT3or.jpeg</t>
  </si>
  <si>
    <t>https://i.imgur.com/CTCvbDz.jpeg</t>
  </si>
  <si>
    <t>https://i.imgur.com/c0IwjHZ.jpeg</t>
  </si>
  <si>
    <t>https://i.imgur.com/PsPVTBV.jpeg</t>
  </si>
  <si>
    <t>G7-T1-S1-BP</t>
  </si>
  <si>
    <t>G7-T1-S1-SP</t>
  </si>
  <si>
    <t>G8-T1-S1-BP</t>
  </si>
  <si>
    <t>Grade 8 T1 First Summative Test + TOS + Answer Key (Basic)</t>
  </si>
  <si>
    <t>https://i.imgur.com/dqV0sYm.jpeg</t>
  </si>
  <si>
    <t>G8-T1-S1-SP</t>
  </si>
  <si>
    <t>Grade 8 T1 First Summative Test + TOS + Answer Key (Standard)</t>
  </si>
  <si>
    <t>G9-T1-S1-BP</t>
  </si>
  <si>
    <t>G9-T1-S1-SP</t>
  </si>
  <si>
    <t>G10-T1-S1-BP</t>
  </si>
  <si>
    <t>Grade 10 T1 First Summative Test + TOS + Answer Key (Basic)</t>
  </si>
  <si>
    <t>https://res.cloudinary.com/dadubemrv/image/upload/v1771581341/mt0reu4d16nbbglfigzi.jpg</t>
  </si>
  <si>
    <t>G10-T1-S1-SP</t>
  </si>
  <si>
    <t>Grade 10 T1 First Summative Test + TOS + Answer Key (Standard)</t>
  </si>
  <si>
    <t>https://i.imgur.com/Eciazvr.jpeg</t>
  </si>
  <si>
    <t>https://res.cloudinary.com/dadubemrv/image/upload/v1771581176/bpjq83f63jehupa4mqs7.jpg</t>
  </si>
  <si>
    <t>G7-T1-MQ</t>
  </si>
  <si>
    <t>Grade 7 T1 Multiple-Choice Quizzes + Answer Keys</t>
  </si>
  <si>
    <t>G8-T1-MQ</t>
  </si>
  <si>
    <t>Grade 8 T1 Multiple-Choice Quizzes + Answer Keys</t>
  </si>
  <si>
    <t>https://res.cloudinary.com/dadubemrv/image/upload/v1771463118/oreyawsxzur1rlvsgtxv.jpg</t>
  </si>
  <si>
    <t xml:space="preserve">---
**Quiz 1.1: Measures of Central Tendency for Ungrouped Data** (25 items)
  - Lesson 1.1.1: Mean for Ungrouped Data
  - Lesson 1.1.2: Median and Mode for Ungrouped Data
  - Lesson 1.2: Interpreting Statistical Data Using Measures of Central Tendency
**Quiz 1.2: Operations on Monomials** (30 items)
  - Lesson 1.3: Modeling Real-Life Situations with Algebraic Expressions
  - Lesson 1.4.1: Adding Simple Monomials
  - Lesson 1.4.2: Subtracting Simple Monomials
  - Lesson 1.5.1: Multiplying Simple Monomials
  - Lesson 1.5.2: Dividing Simple Monomials
  - Lesson 1.5.3: Deriving the Laws of Exponents
  - Lesson 1.6.1: Multiplying Monomials Using the Distributive Property
**Quiz 1.3: Multiplying Binomials** (30 items)
  - Lesson 1.6.2: Multiplying Binomials Using the Distributive Property
  - Lesson 1.7.1: Squaring Binomials
  - Lesson 1.7.2: Multiplying the Sum and Difference of Two Terms
**Quiz 1.4: Factoring Polynomials** (35 items)
  - Lesson 1.8.1: Factoring Polynomials with a Common Monomial Factor
  - Lesson 1.8.2: Factoring Polynomials as Difference of Two Squares
  - Lesson 1.8.3: Factoring the Sum and Difference of Two Cubes
  - Lesson 1.8.4: Factoring Perfect Square Trinomials
  - Lesson 1.8.5: Factoring Trinomials with 1 as Leading Coefficient
  - Lesson 1.8.6: Factoring by Grouping
  - Lesson 1.8.7: Factoring Quadratic Trinomials
  - Lesson 1.9: Solving Problems Involving Special Products and Factoring of Polynomials
**Quiz 1.5: Operations on Rational Algebraic Expressions** (25 items)
  - Lesson 1.10: Simplifying Rational Algebraic Expressions
  - Lesson 1.11.1: Addition of Rational Algebraic Expressions
  - Lesson 1.11.2: Subtraction of Rational Algebraic Expressions
  - Lesson 1.11.3: Multiplication of Rational Algebraic Expressions
  - Lesson 1.11.4: Division of Rational Algebraic Expressions
  - Lesson 1.12: Solving Simple Rational Algebraic Equations Using Cross-Multiplication
**Quiz 1.6: Finding Patterns in Sequences** (30 items)
  - Lesson 1.13.1: Finding Patterns in Arithmetic Sequences
  - Lesson 1.13.2: Finding Patterns in Geometric Sequences
</t>
  </si>
  <si>
    <t>G9-T1-MQ</t>
  </si>
  <si>
    <t>Grade 9 T1 Multiple-Choice Quizzes + Answer Keys</t>
  </si>
  <si>
    <t>G10-T1-MQ</t>
  </si>
  <si>
    <t>Grade 10 T1 Multiple-Choice Quizzes + Answer Keys</t>
  </si>
  <si>
    <t>https://res.cloudinary.com/dadubemrv/image/upload/v1771462496/coog2txapkkedhuakqjx.jpg</t>
  </si>
  <si>
    <t xml:space="preserve">---
**Quiz 1.1: Arithmetic Sequence and Arithmetic Mean** (30 items)
  - Lesson 1.01.1: Describing and Generating Patterns in Sequences
  - Lesson 1.01.2: Finding the General Term of a Sequence
  - Lesson 1.01.3: Finding the General Term of a Sequence with Fractional and Radical Expressions
  - Lesson 1.02.1: Identifying Patterns in Arithmetic Sequences and Finding the Next Terms
  - Lesson 1.02.2: Finding the Missing Term Common Difference and Number of Terms in an Arithmetic Sequence
**Quiz 1.2: Geometric Sequence and Geometric Mean** (30 items)
  - Lesson 1.03.1: Finding the Indicated Number of Arithmetic Means Between Two Terms
  - Lesson 1.03.2: Finding the General Term of an Arithmetic Sequence
  - Lesson 1.03.3: Finding the Sum of Terms in an Arithmetic Sequence
  - Lesson 1.04.1: Identifying Patterns in Geometric Sequences and Finding the Next Terms
  - Lesson 1.04.2: Finding the Missing Term Common Ratio and Number of Terms in a Geometric Sequence
  - Lesson 1.05.1: Classifying Sequences as Arithmetic Geometric or Neither
  - Lesson 1.05.2: Differentiating Finite and Infinite Geometric Sequences
  - Lesson 1.06.1: Finding the Indicated Number of Geometric Means Between Two Terms
  - Lesson 1.06.2: Finding the General Term of a Geometric Sequence
  - Lesson 1.06.3: Finding the Sum of Terms in a Finite Geometric Sequence
  - Lesson 1.06.4: Determining Convergence or Divergence of Infinite Geometric Series and Finding Their Sum
  - Lesson 1.07.1: Solving Problems Involving Arithmetic Sequences and Series
  - Lesson 1.07.2: Solving Problems Involving Finite Geometric Sequences and Series
  - Lesson 1.07.3: Solving Problems Involving Infinite Geometric Sequences and Series
**Quiz 1.3: Dividing and Factoring Polynomials** (30 items)
  - Lesson 1.08.1: Dividing Polynomials Using Long Division
  - Lesson 1.08.2: Dividing Polynomials Using Synthetic Division
  - Lesson 1.08.3: Dividing Polynomials with Missing Terms and Finding the Divisor or Dividend Using Synthetic Division
  - Lesson 1.09.1: Finding the Remainder Using the Remainder Theorem
  - Lesson 1.09.2: Using the Factor Theorem to Determine Factors of a Polynomial
  - Lesson 1.09.3: Applying the Factor Theorem and Remainder Theorem to Solve Problems
  - Lesson 1.10.1: Finding the Factors of Polynomial Expressions of Degree 2
  - Lesson 1.10.2: Finding the Factors of Polynomial Expressions of Degree 3 and Above
**Quiz 1.4: Polynomial Equations** (30 items)
  - Lesson 1.11.1: Applying the Fundamental Theorem of Algebra to Find the Number of Roots of Polynomial Equations
  - Lesson 1.11.2: Describing and Finding the Integral Roots of Polynomial Equations Using the Integral Zero Theorem
  - Lesson 1.12.1: Determining the List of Possible Rational Roots Using the Rational Roots Theorem
  - Lesson 1.12.2: Describing and Finding the Rational Roots of Polynomial Equations of Degree Greater than 2
  - Lesson 1.12.3: Solving Polynomial Equations of Degree Greater than 2
  - Lesson 1.13.1: Solving Problems Involving Polynomials
  - Lesson 1.13.2: Solving Problems Involving Polynomial Equations
</t>
  </si>
  <si>
    <t>G7-T2-S1-BP</t>
  </si>
  <si>
    <t>https://i.imgur.com/44eqx0V.jpeg</t>
  </si>
  <si>
    <t>Grade 7 T2 First Summative Test + TOS + Answer Key (Standard)</t>
  </si>
  <si>
    <t>Grade 8 T2 First Summative Test + TOS + Answer Key (Basic)</t>
  </si>
  <si>
    <t>https://i.imgur.com/KDUYUX7.jpeg</t>
  </si>
  <si>
    <t>Grade 8 T2 First Summative Test + TOS + Answer Key (Standard)</t>
  </si>
  <si>
    <t>Grade 9 T2 First Summative Test + TOS + Answer Key (Basic)</t>
  </si>
  <si>
    <t>https://i.imgur.com/PRWYDB8.jpeg</t>
  </si>
  <si>
    <t>Grade 9 T2 First Summative Test + TOS + Answer Key (Standard)</t>
  </si>
  <si>
    <t>Grade 10 T2 First Summative Test + TOS + Answer Key (Basic)</t>
  </si>
  <si>
    <t>https://i.imgur.com/P1inplO.jpeg</t>
  </si>
  <si>
    <t>Grade 10 T2 First Summative Test + TOS + Answer Key (Standard)</t>
  </si>
  <si>
    <t>https://i.imgur.com/uDMIvrF.jpeg</t>
  </si>
  <si>
    <t>https://i.imgur.com/8n2VCOb.jpeg</t>
  </si>
  <si>
    <t>https://i.imgur.com/sVIQDun.jpeg</t>
  </si>
  <si>
    <t>https://i.imgur.com/T2J0K9c.jpeg</t>
  </si>
  <si>
    <t>Discounted Basic</t>
  </si>
  <si>
    <t xml:space="preserve">Discounted Standard </t>
  </si>
  <si>
    <t xml:space="preserve">Discounted Premium </t>
  </si>
  <si>
    <t>Regular Basic</t>
  </si>
  <si>
    <t xml:space="preserve">Regular Standard </t>
  </si>
  <si>
    <t xml:space="preserve">Regular Premium </t>
  </si>
  <si>
    <t xml:space="preserve">*Tinatamad ka ba, walang time, o nahihirapang gumawa ng TOS at  First Summative exam mo, KasaMath? Kuha ka na ng Basic Assessment Package habang naka-Early Bird Promo!*
**Bakit perfect para sa’yo ang Basic Assessment Package?**
- Makakatipid ka sa oras kaya makakapaghabol pa ng lessons.  
- Tipid din sa budget dahil naka-**30% discount**.
- Maganda at consistent ang formatting ng test questions at figures.  
- Ready na ang answer key kaya mas madali at mabilis ang pagche-check.  
- Maaga kang makakapag-submit ng TOS sa head mo.  
- Ready-to-print exam: buong term ang covered topics  
- Table of Specifications (Bloom’s Taxonomy format)  
- Number of days: 35 days  
- 50-item Multiple Choice test with Answer Key  
- Add ka lang ng ₱80 kung gusto mo idagdag ang **Periodic Test**  
- Para sa teachers na nagmamadali  
[![Sample TOS formatted using Bloom’s Taxonomy](https://res.cloudinary.com/dadubemrv/image/upload/v1768351319/vb4ulrsvcgdxqwn7fdha.png)](https://res.cloudinary.com/dadubemrv/image/upload/v1768351319/vb4ulrsvcgdxqwn7fdha.png)
*Sample TOS formatted using Bloom’s Taxonomy*
---
## Step 1: I-fill out at i-submit ang Order Form
{{&lt; iframe src="https://cityofsmiles.github.io/texmathpro-order-taker/" height="850" &gt;}}
---
## Step 2: Payment and Delivery
### Payment Methods
Mag-send ka lang ng ₱84 para sa **First Summative test**. Magdagdag ka lang ng ₱80 kung gusto mo ring isama ang **Periodic Test**. Sulitin mo na ang **Early Bird Promo**, KasaMath!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 
</t>
  </si>
  <si>
    <t xml:space="preserve">*Tinatamad ka ba, walang time, o nahihirapang gumawa ng TOS at  First Summative exam mo, KasaMath? Kuha ka na ng Standard Assessment Package habang naka-Early Bird Promo!*
**Bakit perfect para sa’yo ang Standard Assessment Package?**
- Makakatipid ka sa oras kaya makakapaghabol pa ng lessons.  
- Tipid din sa budget dahil naka-**30% discount**.
- Maganda at consistent ang formatting ng test questions at figures.  
- Ready na ang answer key kaya mas madali at mabilis ang pagche-check.  
- Maaga kang makakapag-submit ng TOS sa head mo.  
- Ready-to-print exam: buong term ang covered topics  
- Table of Specifications: pwedeng Bloom's format o 21st Century format
- Number of days: pwedeng 35 days o 40 days
- 50-item Multiple Choice test with Answer Key  
- Add ka lang ng ₱80 kung gusto mo idagdag ang **Periodic Test**  
- Bagay sa teachers na gusto ng flexibility sa exam
[![Sample TOS formatted using Bloom’s Taxonomy](https://res.cloudinary.com/dadubemrv/image/upload/v1768351319/vb4ulrsvcgdxqwn7fdha.png)](https://res.cloudinary.com/dadubemrv/image/upload/v1768351319/vb4ulrsvcgdxqwn7fdha.png)
*Sample TOS formatted using Bloom’s Taxonomy*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## Step 1: I-fill out at i-submit ang Order Form
{{&lt; iframe src="https://cityofsmiles.github.io/texmathpro-order-taker/" height="850" &gt;}}
---
## Step 2: Payment and Delivery
### Payment Methods
Mag-send ka lang ng ₱115 para sa **First Summative test**. Magdagdag ka lang ng ₱80 kung gusto mo ring isama ang **Periodic Test**. Sulitin mo na ang **Early Bird Promo**, KasaMath!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 
</t>
  </si>
  <si>
    <t xml:space="preserve">*Tinatamad ka ba, walang time, o nahihirapang gumawa ng TOS at  First Summative exam mo, KasaMath? Kuha ka na ng Premium Assessment Package habang naka-Early Bird Promo!*
**Bakit perfect para sa’yo ang Premium Assessment Package?**
- Makakatipid ka sa oras kaya makakapaghabol pa ng lessons.  
- Tipid din sa budget dahil naka-**30% discount**.
- Maganda at consistent ang formatting ng test questions at figures.  
- Ready na ang answer key kaya mas madali at mabilis ang pagche-check.  
- Maaga kang makakapag-submit ng TOS sa head mo.  
- Fully customizable exam: kahit anong topic ang pwedeng covered
- Table of Specifications: pwedeng Bloom's format o 21st Century format
- Number of days: pwede kahit ilan
- 50-item Multiple Choice test with Answer Key  
- Add ka lang ng ₱80 kung gusto mo idagdag ang **Periodic Test**  
- Perfect sa teachers na gusto ng pasadyang exam
[![Sample TOS formatted using Bloom’s Taxonomy](https://res.cloudinary.com/dadubemrv/image/upload/v1768351319/vb4ulrsvcgdxqwn7fdha.png)](https://res.cloudinary.com/dadubemrv/image/upload/v1768351319/vb4ulrsvcgdxqwn7fdha.png)
*Sample TOS formatted using Bloom’s Taxonomy*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## Step 1: I-fill out at i-submit ang Order Form
{{&lt; iframe src="https://cityofsmiles.github.io/texmathpro-order-taker/" height="850" &gt;}}
---
## Step 2: Payment and Delivery
### Payment Methods
Mag-send ka lang ng ₱245 para sa **First Summative test**. Magdagdag ka lang ng ₱80 kung gusto mo ring isama ang **Periodic Test**. Sulitin mo na ang **Early Bird Promo**, KasaMath!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 
</t>
  </si>
  <si>
    <t xml:space="preserve">Activity Answer key </t>
  </si>
  <si>
    <t>How to Order</t>
  </si>
  <si>
    <t xml:space="preserve">Multiple-choice Quizzes </t>
  </si>
  <si>
    <t xml:space="preserve">Salamat </t>
  </si>
  <si>
    <t>Grade 7</t>
  </si>
  <si>
    <t>Grade 8</t>
  </si>
  <si>
    <t>Grade 9</t>
  </si>
  <si>
    <t>Grade 10</t>
  </si>
  <si>
    <t>isPublished</t>
  </si>
  <si>
    <t>1st Term</t>
  </si>
  <si>
    <t>https://drive.google.com/file/d/150NUP_Nq2tev-Qn00VInZTAaPrUAssmQ/view?usp=drivesdk</t>
  </si>
  <si>
    <t>https://drive.google.com/file/d/1x4fsJFRIZ1vsqPk6OXbzsGErE1XdDNJQ/view?usp=drivesdk</t>
  </si>
  <si>
    <t>2nd Term</t>
  </si>
  <si>
    <t>3rd Term</t>
  </si>
  <si>
    <t>4th Term</t>
  </si>
  <si>
    <t>https://res.cloudinary.com/dadubemrv/image/upload/v1783262649/xa3ma5xtgdbpiti2pulm.png, 
https://res.cloudinary.com/dadubemrv/image/upload/v1783262653/xelrwfv3qo9fte8tcav5.png, 
https://res.cloudinary.com/dadubemrv/image/upload/v1783262656/erime3c8h1ngvdbdrwdu.png, 
https://res.cloudinary.com/dadubemrv/image/upload/v1783262658/s6wrnagjw7rwy2jvrk9h.png</t>
  </si>
  <si>
    <t>https://res.cloudinary.com/dadubemrv/image/upload/v1783263602/yd7hsdwqb5dk19s6pakw.png,https://res.cloudinary.com/dadubemrv/image/upload/v1783263605/ujoydnhzuhsnv7yic56j.png,https://res.cloudinary.com/dadubemrv/image/upload/v1783263608/d8tvcndvdvbcscplmsni.png,https://res.cloudinary.com/dadubemrv/image/upload/v1783263611/xnrnsjt720lvbgoycchm.png</t>
  </si>
  <si>
    <t>https://res.cloudinary.com/dadubemrv/image/upload/v1784259489/jon7ha1w9jssifhlph7u.png,https://res.cloudinary.com/dadubemrv/image/upload/v1784259493/l9iore0gcpvw7hcecvvt.png,https://res.cloudinary.com/dadubemrv/image/upload/v1784259496/fyqiathetzwuch9vy3t7.png</t>
  </si>
  <si>
    <t>---
📑 **Topics Covered**
**Quiz 1.01.1: Drawing Polygons by Side and Angle Measurements** (35 items)
  - Lesson 1.01.1: Drawing Regular Polygons by Side and Angle Measurements
  - Lesson 1.01.2: Drawing Irregular Polygons by Side and Angle Measurements
  - Lesson 1.01.3: Constructing Triangles, Quadrilaterals, and Regular Polygons
**Quiz 1.02.1: Relationships Between Angle Pairs** (35 items)  
  - Lesson 1.02.1: Relationships Between Angle Pairs
  - Lesson 1.02.2: Classifying Regular and Irregular Polygons
  - Lesson 1.02.3: Classifying Convex and Non-Convex Polygons
**Quiz 1.03.1: Exterior and Interior Angles of Polygons** (35 items)
  - Lesson 1.03.1: Exterior and Interior Angles of Polygons
  - Lesson 1.03.2: Finding Angle Measures of Polygons
  - Lesson 1.03.3: Determining the Number of Sides of Polygons
**Quiz 1.04.1: Percentage Increase and Decrease** (35 items)
  - Lesson 1.04.1: Percentage Increase
  - Lesson 1.04.2: Percentage Decrease
  - Lesson 1.04.3: Money Problems Involving Percentages
**Quiz 1.05.1: Creating a Financial Plan** (25 items)
  - Lesson 1.05.1: Creating a Financial Plan
**Quiz 1.06.1: Understanding Rates** (30 items)
  - Lesson 1.06.1: Understanding Rates
  - Lesson 1.06.2: Solving Problems Involving Rates
**Quiz 1.07.1: Representing Rational Numbers** (35 items)
  - Lesson 1.07.1: Representing Rational Numbers
  - Lesson 1.07.2: Ordering Rational Numbers on the Number Line
**Quiz 1.08.1: Operations on Rational Numbers** (25 items)  
  - Lesson 1.08.1: Adding Rational Numbers
  - Lesson 1.08.2: Subtracting Rational Numbers
  - Lesson 1.09.1: Multiplying Rational Numbers
  - Lesson 1.09.2: Dividing Rational Numbers
**Quiz 1.10.1: Square Roots, Cube Roots, and Irrational Numbers** (35 items)
  - Lesson 1.10.1: Square Roots of Perfect Squares
  - Lesson 1.10.2: Cube Roots of Perfect Cubes
  - Lesson 1.10.3: Irrational Numbers and Their Location on the Number Line</t>
  </si>
  <si>
    <t>Tinatamad ka ba, walang time, o nahihirapang gumawa ng quizzes mo this term, KasaMath? 
✨  Kuha ka na ng Multiple Choice Quizzes with Answer Keys para:
 - Tipid ka sa oras at makapag-focus sa pagtuturo. 
 - Maganda at consistent ang formatting ng test questions at figures mo. 
 - Ready na ang answer key at di ka na magsasagot ng questions. 
 - Masanay ang students sa pagsagot ng multiple choice test. 
 - Parallel ang quiz items sa questions na lalabas sa Summative test at Term Exam. 
---
 📑 **Product Details**
| Feature | Details |
|---|---|
| Content |</t>
  </si>
  <si>
    <t>G7-T1-S2-BP</t>
  </si>
  <si>
    <t>https://res.cloudinary.com/dadubemrv/image/upload/v1784692768/blzn2f4qf4csagllrdmj.png,https://res.cloudinary.com/dadubemrv/image/upload/v1784692772/mlwmihwoocbpcd5of6rx.png,https://res.cloudinary.com/dadubemrv/image/upload/v1784692776/adpmufdqkz5qxw5yzj0p.png</t>
  </si>
  <si>
    <t xml:space="preserve">Coverage </t>
  </si>
  <si>
    <t>S1</t>
  </si>
  <si>
    <t>Code</t>
  </si>
  <si>
    <t>Product type</t>
  </si>
  <si>
    <t>S2</t>
  </si>
  <si>
    <t>MQ</t>
  </si>
  <si>
    <t>First Summative test</t>
  </si>
  <si>
    <t>Multiple-choice Quizzes</t>
  </si>
  <si>
    <t>Second Summative test</t>
  </si>
  <si>
    <t>G7-T3-TE-BP</t>
  </si>
  <si>
    <t>G7-T3-TE-SP</t>
  </si>
  <si>
    <t>G8-T3-TE-BP</t>
  </si>
  <si>
    <t>G8-T3-TE-SP</t>
  </si>
  <si>
    <t>G9-T3-TE-BP</t>
  </si>
  <si>
    <t>G9-T3-TE-SP</t>
  </si>
  <si>
    <t>G10-T3-TE-BP</t>
  </si>
  <si>
    <t>G10-T3-TE-SP</t>
  </si>
  <si>
    <t>G7-T1-TE-BP</t>
  </si>
  <si>
    <t>G7-T1-TE-SP</t>
  </si>
  <si>
    <t>G8-T1-TE-BP</t>
  </si>
  <si>
    <t>G8-T1-TE-SP</t>
  </si>
  <si>
    <t>G9-T1-TE-BP</t>
  </si>
  <si>
    <t>G9-T1-TE-SP</t>
  </si>
  <si>
    <t>G10-T1-TE-BP</t>
  </si>
  <si>
    <t>G10-T1-TE-SP</t>
  </si>
  <si>
    <t>G8-T2-TE-BP</t>
  </si>
  <si>
    <t>G8-T2-TE-SP</t>
  </si>
  <si>
    <t>G9-T2-TE-BP</t>
  </si>
  <si>
    <t>G9-T2-TE-SP</t>
  </si>
  <si>
    <t>G10-T2-TE-BP</t>
  </si>
  <si>
    <t>G10-T2-TE-SP</t>
  </si>
  <si>
    <t>TE</t>
  </si>
  <si>
    <t>Term Exam</t>
  </si>
  <si>
    <t>Term</t>
  </si>
  <si>
    <t>T1</t>
  </si>
  <si>
    <t>T2</t>
  </si>
  <si>
    <t>T3</t>
  </si>
  <si>
    <t>First Term</t>
  </si>
  <si>
    <t>Second Term</t>
  </si>
  <si>
    <t>Third Term</t>
  </si>
  <si>
    <t>Grade level</t>
  </si>
  <si>
    <t>G7</t>
  </si>
  <si>
    <t>G8</t>
  </si>
  <si>
    <t>G9</t>
  </si>
  <si>
    <t>G10</t>
  </si>
  <si>
    <t>Package type</t>
  </si>
  <si>
    <t>BP</t>
  </si>
  <si>
    <t>SP</t>
  </si>
  <si>
    <t>Basic Assessment Package</t>
  </si>
  <si>
    <t>Standard Assessment Package</t>
  </si>
  <si>
    <t>Days</t>
  </si>
  <si>
    <t>Items</t>
  </si>
  <si>
    <t>G9-T1-S2-BP</t>
  </si>
  <si>
    <t>https://res.cloudinary.com/dadubemrv/image/upload/v1784731784/ptqhzxe6hdaphiivprrc.png,https://res.cloudinary.com/dadubemrv/image/upload/v1784731787/jc6dwnedukuiwimgdgxv.png,https://res.cloudinary.com/dadubemrv/image/upload/v1784731789/aidqozqvzsxtxmtppi1c.png</t>
  </si>
  <si>
    <t xml:space="preserve">
---
📑 **Competencies Covered**
- Draw and describe regular and irregular polygons with 5, 6, 8, or 10 sides, based on measurements of sides and angles, using a ruler and protractor.
- Draw triangles, quadrilaterals, and regular polygons (5, 6, 8, or 10 sides) with given angle measures.
- Describe and explain the relationships between angle pairs based on their measures.
- Classify polygons according to the number of sides, whether they are regular or irregular.
- Classify polygons whether they are convex or non-convex.
- Deduce the relationship between the exterior angle and adjacent interior angle of a polygon.</t>
  </si>
  <si>
    <t xml:space="preserve">
---
📑 **Competencies Covered**
- Determine the measures of angles of polygons.
- Determine the number of sides of polygons.
- Solve problems involving percentage increase and percentage decrease.
- Solve money problems involving percentages (e. g., discount, commission, sales tax, simple interest).
- Create a financial plan.</t>
  </si>
  <si>
    <t xml:space="preserve">
---
📑 **Competencies Covered**
- Illustrate and describe point, line, ray, line segment, angle, and plane using models and geometric notations.
- Construct perpendicular and parallel lines.
- Identify the relationships between angles formed by parallel lines cut by a transversal.
- Determine angle measures involving angle pairs, parallel and perpendicular lines, and parallel lines cut by a transversal.
- Identify relations that are functions based on the definitions of relations and functions.
- Determine the domain and range of a function expressed in different representations.</t>
  </si>
  <si>
    <t xml:space="preserve">
---
📑 **Competencies Covered**
- Express the relationship between two variables as a function.
- Determine the slopes (as rate of change) and zeros of linear functions represented in graphs, equations, and tables of values.
- Graph a linear function and determine its domain, range, intercepts, and slope.
- Represent linear relationships found in real-life situations using different representations.
- Solve problems involving linear functions.
- Determine conditions that guarantee parallelism and perpendicularity of lines.</t>
  </si>
  <si>
    <t>Pieces</t>
  </si>
  <si>
    <t>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---
Salamat sa pagsuporta sa **TeXMathPro, KasaMath**! Kung may tanong o suggestion ka, [kontakin mo lang ako](https://texmathpro.github.io/contact/).</t>
  </si>
  <si>
    <t>---
📑 **Topics Covered**
**Quiz 1.01.1: Basic Undefined Terms and Geometric Notation** (35 items)
  - Lesson 1. 1.01.1: Basic Undefined Terms and Geometric Notation
  - Lesson 1. 1.01.2: Constructing Parallel and Perpendicular Lines
**Quiz 1.02.1: Angles Formed by Parallel Lines and a Transversal** (30 items)
  - Lesson 1. 1.02.1: Angles Formed by Parallel Lines and a Transversal
  - Lesson 1. 1.02.2: Solving Angle Measures with Parallel and Perpendicular Lines
**Quiz 1.03.1: Introduction to Relations and Functions** (30 items)
  - Lesson 1. 1.03.1: Introduction to Relations and Functions
  - Lesson 1. 1.03.2: Domain of a Function
  - Lesson 1. 1.03.3: Range of a Function
**Quiz 1.04.1: Representing Relationships as Functions** (30 items)
  - Lesson 1. 1.04.1: Representing Relationships as Functions
  - Lesson 1. 1.04.2: Slope of Linear Functions from Graphs
  - Lesson 1. 1.04.3: Zeros of Linear Functions from Graphs
  - Lesson 1. 1.04.4: Slope of Linear Functions from Equations
  - Lesson 1. 1.04.5: Zeros of Linear Functions from Equations
  - Lesson 1. 1.04.6: Slope of Linear Functions from Tables
  - Lesson 1. 1.04.7: Zeros of Linear Functions from Tables
**Quiz 1.05.1: Graphing Linear Functions: Domain and Range** (35 items)
  - Lesson 1. 1.05.1: Graphing Linear Functions: Domain and Range
  - Lesson 1. 1.05.2: Graphing Linear Function - Intercepts and Slope
  - Lesson 1. 1.05.3: Representing Real-Life Linear Relationships
**Quiz 1.06.1: Solving Problems Involving Linear Functions** (30 items)
  - Lesson 1. 1.06.1: Solving Problems Involving Linear Functions
  - Lesson 1. 1.06.2: Conditions that Guarantee Parallelism
  - Lesson 1. 1.06.3: Conditions that Guarantee Perpendicularity
**Quiz 1.07.1: Classifying Quadrilaterals** (35 items)
  - Lesson 1. 1.07.1: Classifying Quadrilaterals
  - Lesson 1. 1.07.2: Properties of Parallelograms
**Quiz 1.08.1: Finding Lengths in Parallelograms** (30 items)
  - Lesson 1. 1.08.1: Finding Side Lengths in Parallelograms
  - Lesson 1. 1.08.2: Finding Angle Measures in Parallelograms
  - Lesson 1. 1.08.3: Finding Perpendicular Heights in Parallelograms
  - Lesson 1. 1.08.4: Finding Diagonal Measures in Parallelograms
**Quiz 1.09.1: Problem Solving with Parallelograms** (30 items)
  - Lesson 1. 1.09.1: Problem Solving with Parallelograms and Rectangles
  - Lesson 1. 1.09.2: Problem Solving with Squares and Rhombuses
**Quiz 1.10.1: Proving Properties of Parallelograms** (25 items)
  - Lesson 1. 1.10.1: Proving Properties of Parallelograms</t>
  </si>
  <si>
    <t>https://res.cloudinary.com/dadubemrv/image/upload/v1784868820/ozzzxppeyyvj0s2tjymk.png,https://res.cloudinary.com/dadubemrv/image/upload/v1784868830/kgezh16t4knvga2qdead.png,https://res.cloudinary.com/dadubemrv/image/upload/v1784868834/juzddujgsxbdnu454ck5.png</t>
  </si>
  <si>
    <t>Grade 7 T1 First Summative Test + Answer Key (Basic)</t>
  </si>
  <si>
    <t>Grade 7 T1 Second Summative Test + Answer Key (Basic)</t>
  </si>
  <si>
    <t>Grade 9 T1 First Summative Test + Answer Key (Basic)</t>
  </si>
  <si>
    <t>Grade 9 T1 Second Summative Test + Answer Key (Basic)</t>
  </si>
  <si>
    <t>G7-T1-S2-SP</t>
  </si>
  <si>
    <t>Grade 7 T1 Second Summative Test + Answer Key + TOS (Standard)</t>
  </si>
  <si>
    <t>Grade 7 T1 First Summative Test + Answer Key + TOS (Standard)</t>
  </si>
  <si>
    <t>Grade 9 T1 First Summative Test + Answer Key + TOS (Standard)</t>
  </si>
  <si>
    <t>G9-T1-S2-SP</t>
  </si>
  <si>
    <t>Grade 9 T1 Second Summative Test + Answer Key + TOS (Standard)</t>
  </si>
  <si>
    <t>G7-T1-S1-CP</t>
  </si>
  <si>
    <t>G8-T1-S1-CP</t>
  </si>
  <si>
    <t>G9-T1-S1-CP</t>
  </si>
  <si>
    <t>G10-T1-S1-CP</t>
  </si>
  <si>
    <t>G7-T1-TE-CP</t>
  </si>
  <si>
    <t>G8-T1-TE-CP</t>
  </si>
  <si>
    <t>G9-T1-TE-CP</t>
  </si>
  <si>
    <t>G10-T1-TE-CP</t>
  </si>
  <si>
    <t>G8-T2-TE-CP</t>
  </si>
  <si>
    <t>G9-T2-TE-CP</t>
  </si>
  <si>
    <t>G10-T2-TE-CP</t>
  </si>
  <si>
    <t>G7-T3-S1-CP</t>
  </si>
  <si>
    <t>G8-T3-S1-CP</t>
  </si>
  <si>
    <t>G9-T3-S1-CP</t>
  </si>
  <si>
    <t>G10-T3-S1-CP</t>
  </si>
  <si>
    <t>G7-T3-TE-CP</t>
  </si>
  <si>
    <t>G8-T3-TE-CP</t>
  </si>
  <si>
    <t>G9-T3-TE-CP</t>
  </si>
  <si>
    <t>G10-T3-TE-CP</t>
  </si>
  <si>
    <t>Grade 7 T1 First Summative Test + Answer Key + TOS (Custom)</t>
  </si>
  <si>
    <t>CP</t>
  </si>
  <si>
    <t>Custom Assessment Package</t>
  </si>
  <si>
    <t>25-50</t>
  </si>
  <si>
    <t>G7-T1-S2-CP</t>
  </si>
  <si>
    <t>Grade 7 T1 Second Summative Test + Answer Key + TOS (Custom)</t>
  </si>
  <si>
    <t>Grade 9 T1 First Summative Test + Answer Key + TOS (Custom)</t>
  </si>
  <si>
    <t>G9-T1-S2-CP</t>
  </si>
  <si>
    <t>Grade 9 T1 Second Summative Test + Answer Key + TOS (Custom)</t>
  </si>
  <si>
    <t>Grade 7 T3 Term Exam + TOS + Answer Key (Basic)</t>
  </si>
  <si>
    <t>Grade 7 T3 Term Exam + TOS + Answer Key (Standard)</t>
  </si>
  <si>
    <t>Grade 8 T3 Term Exam + TOS + Answer Key (Basic)</t>
  </si>
  <si>
    <t>Grade 8 T3 Term Exam + TOS + Answer Key (Standard)</t>
  </si>
  <si>
    <t>Grade 9 T3 Term Exam + TOS + Answer Key (Basic)</t>
  </si>
  <si>
    <t>Grade 9 T3 Term Exam + TOS + Answer Key (Standard)</t>
  </si>
  <si>
    <t>Grade 10 T3 Term Exam + TOS + Answer Key (Basic)</t>
  </si>
  <si>
    <t>Grade 10 T3 Term Exam + TOS + Answer Key (Standard)</t>
  </si>
  <si>
    <t>Grade 7 T1 Term Exam + TOS + Answer Key (Standard)</t>
  </si>
  <si>
    <t>Grade 8 T1 Term Exam + TOS + Answer Key (Basic)</t>
  </si>
  <si>
    <t>Grade 8 T1 Term Exam + TOS + Answer Key (Standard)</t>
  </si>
  <si>
    <t>Grade 9 T1 Term Exam + TOS + Answer Key (Standard)</t>
  </si>
  <si>
    <t>Grade 10 T1 Term Exam + TOS + Answer Key (Basic)</t>
  </si>
  <si>
    <t>Grade 10 T1 Term Exam + TOS + Answer Key (Standard)</t>
  </si>
  <si>
    <t>Grade 7 T2 Term Exam + TOS + Answer Key (Basic)</t>
  </si>
  <si>
    <t>Grade 7 T2 Term Exam + TOS + Answer Key (Standard)</t>
  </si>
  <si>
    <t>Grade 8 T2 Term Exam + TOS + Answer Key (Basic)</t>
  </si>
  <si>
    <t>Grade 8 T2 Term Exam + TOS + Answer Key (Standard)</t>
  </si>
  <si>
    <t>Grade 9 T2 Term Exam + TOS + Answer Key (Basic)</t>
  </si>
  <si>
    <t>Grade 9 T2 Term Exam + TOS + Answer Key (Standard)</t>
  </si>
  <si>
    <t>Grade 10 T2 Term Exam + TOS + Answer Key (Basic)</t>
  </si>
  <si>
    <t>Grade 10 T2 Term Exam + TOS + Answer Key (Standard)</t>
  </si>
  <si>
    <t>Grade 7 T1 Term Exam + Answer Key (Basic)</t>
  </si>
  <si>
    <t>Grade 9 T1 Term Exam + Answer Key (Basic)</t>
  </si>
  <si>
    <t>https://res.cloudinary.com/dadubemrv/image/upload/v1787464873/tecspvimjjmukoar4zbb.png,https://res.cloudinary.com/dadubemrv/image/upload/v1787464876/xbrtpio296qgy3j7oujs.png,https://res.cloudinary.com/dadubemrv/image/upload/v1787464879/jg5ya8r4c7tclyqtbcix.png,https://res.cloudinary.com/dadubemrv/image/upload/v1787464881/i4flhlzmeex8qigeggdy.png,https://res.cloudinary.com/dadubemrv/image/upload/v1787464884/dcphz1r95ezhrflugxgu.png</t>
  </si>
  <si>
    <t xml:space="preserve">
---
📑 **Competencies Covered**
- Describe and explain the relationships between angle pairs based on their measures.
- Deduce the relationship between the exterior angle and adjacent interior angle of a polygon.
- Solve problems involving percentage increase and percentage decrease.
- Solve money problems involving percentages (e. g., discount, commission, sales tax, simple interest).
- Identify and explain the uses of rates.
- Solve problems involving rates (e.g., speed).
- Describe given rational numbers as fractions, decimals, or percentages.
- Order rational numbers on a number line.
- Perform operations on rational numbers.</t>
  </si>
  <si>
    <t>Grade 10 T1 Term Exam + TOS + Answer Key (Custom)</t>
  </si>
  <si>
    <t>Grade 7 T2 First Summative Test + TOS + Answer Key (Custom)</t>
  </si>
  <si>
    <t>Grade 8 T2 First Summative Test + TOS + Answer Key (Custom)</t>
  </si>
  <si>
    <t>Grade 9 T2 First Summative Test + TOS + Answer Key (Custom)</t>
  </si>
  <si>
    <t>Grade 10 T2 First Summative Test + TOS + Answer Key (Custom)</t>
  </si>
  <si>
    <t>Grade 7 T2 Term Exam + TOS + Answer Key (Custom)</t>
  </si>
  <si>
    <t>Grade 8 T2 Term Exam + TOS + Answer Key (Custom)</t>
  </si>
  <si>
    <t>Grade 9 T2 Term Exam + TOS + Answer Key (Custom)</t>
  </si>
  <si>
    <t>Grade 10 T2 Term Exam + TOS + Answer Key (Custom)</t>
  </si>
  <si>
    <t>Grade 7 T3 First Summative Test + TOS + Answer Key (Custom)</t>
  </si>
  <si>
    <t>Grade 8 T3 First Summative Test + TOS + Answer Key (Custom)</t>
  </si>
  <si>
    <t>Grade 9 T3 First Summative Test + TOS + Answer Key (Custom)</t>
  </si>
  <si>
    <t>Grade 10 T3 First Summative Test + TOS + Answer Key (Custom)</t>
  </si>
  <si>
    <t>Grade 7 T3 Term Exam + TOS + Answer Key (Custom)</t>
  </si>
  <si>
    <t>Grade 8 T3 Term Exam + TOS + Answer Key (Custom)</t>
  </si>
  <si>
    <t>Grade 9 T3 Term Exam + TOS + Answer Key (Custom)</t>
  </si>
  <si>
    <t>Grade 10 T3 Term Exam + TOS + Answer Key (Custom)</t>
  </si>
  <si>
    <t>Grade 8 T1 First Summative Test + TOS + Answer Key (Custom)</t>
  </si>
  <si>
    <t>Grade 10 T1 First Summative Test + TOS + Answer Key (Custom)</t>
  </si>
  <si>
    <t>Grade 7 T1 Term Exam + TOS + Answer Key (Custom)</t>
  </si>
  <si>
    <t>Grade 8 T1 Term Exam + TOS + Answer Key (Custom)</t>
  </si>
  <si>
    <t>Grade 9 T1 Term Exam + TOS + Answer Key (Custom)</t>
  </si>
  <si>
    <t>https://res.cloudinary.com/dadubemrv/image/upload/v1787629077/vggbz4e8touzqtnlxtnf.png,https://res.cloudinary.com/dadubemrv/image/upload/v1787629079/gxdpnle4x2alzlx3axnj.png,https://res.cloudinary.com/dadubemrv/image/upload/v1787629082/f4vzueldnbezcp9gkj8n.png,https://res.cloudinary.com/dadubemrv/image/upload/v1787629085/lthuwr9lmjlxjeosnrxp.png,https://res.cloudinary.com/dadubemrv/image/upload/v1787629088/bz6lix2ws4fbkydcs8ri.png</t>
  </si>
  <si>
    <t xml:space="preserve">
---
📑 **Competencies Covered**
- Identify the relationships between angles formed by parallel lines cut by a transversal.	
- Determine angle measures involving angle pairs, parallel and perpendicular lines, and parallel lines cut by a transversal.	
- Graph a linear function and determine its domain, range, intercepts, and slope.	
- Solve problems involving linear functions.	
- Determine conditions that guarantee parallelism and perpendicularity of lines.	
- Classify quadrilaterals based on formal definitions.	
- Determine the properties of parallelograms.	
- Use properties of parallelograms to find measures of angles, sides, perpendicular height, and diagonals.	
- Solve problems involving parallelograms, rectangles, squares and rhombuses by applying their different properties.</t>
  </si>
  <si>
    <t>G7-T2-AK</t>
  </si>
  <si>
    <t>2nd Term Activity Answer Keys for Grade 7</t>
  </si>
  <si>
    <t>https://res.cloudinary.com/dadubemrv/image/upload/v1788323365/t7oohow4h6hdk0okxogv.jpg</t>
  </si>
  <si>
    <t>AK</t>
  </si>
  <si>
    <t>Activity Answer Keys</t>
  </si>
  <si>
    <t>https://drive.google.com/file/d/1-KDJsZditKS4m47wiWkkrUHdmr6OGHRS/view?usp=drivesdk</t>
  </si>
  <si>
    <t>https://drive.google.com/file/d/1EE_6jJP56HUvwmqvAvF3kXdhOI1EKpPi/view?usp=drivesdk</t>
  </si>
  <si>
    <t>G9-T2-AK</t>
  </si>
  <si>
    <t>2nd Term Activity Answer Keys for Grade 9</t>
  </si>
  <si>
    <t>https://res.cloudinary.com/dadubemrv/image/upload/v1788606986/e1zod9iypipnti9jstcl.jpg</t>
  </si>
  <si>
    <t>G7-T2-SN</t>
  </si>
  <si>
    <t>https://res.cloudinary.com/dadubemrv/image/upload/v1789021349/tciyvgftvhrumpsctos5.jpg</t>
  </si>
  <si>
    <t>SN</t>
  </si>
  <si>
    <t>2nd Term Comprehensive Study Notes for Grade 7</t>
  </si>
  <si>
    <t>Comprehensive Study Notes</t>
  </si>
  <si>
    <t>G9-T2-SN</t>
  </si>
  <si>
    <t>https://res.cloudinary.com/dadubemrv/image/upload/v1789093364/d294yhizyzhlnrbjm9v8.jpg</t>
  </si>
  <si>
    <t>2nd Term Comprehensive Study Notes for Grade 9</t>
  </si>
  <si>
    <t>G7-T2-PS</t>
  </si>
  <si>
    <t>Ready-to-Teach PowerPoint Slides</t>
  </si>
  <si>
    <t>PS</t>
  </si>
  <si>
    <t>2nd Term Ready-to-Teach PowerPoint Slides for Grade 7</t>
  </si>
  <si>
    <t>https://res.cloudinary.com/dadubemrv/image/upload/v1789124434/ypw3znza6h1upyukhyqk.png,https://res.cloudinary.com/dadubemrv/image/upload/v1789124436/qhnwdhfvt39eq9a13mxi.png,https://res.cloudinary.com/dadubemrv/image/upload/v1789124439/dwhprvrdkruwlzhahuxg.png,https://res.cloudinary.com/dadubemrv/image/upload/v1789124441/ldz4veuc0xclyzazvjpd.png,https://res.cloudinary.com/dadubemrv/image/upload/v1789124444/yfzfz41zgvucwb87fyq7.png,https://res.cloudinary.com/dadubemrv/image/upload/v1789124447/klerbqxiphufp9h8cfwl.png,https://res.cloudinary.com/dadubemrv/image/upload/v1789124449/xcdhjdkczqsesu1iibrl.png,https://res.cloudinary.com/dadubemrv/image/upload/v1789124453/zxcjggv7y3gfbei0cfsq.png,https://res.cloudinary.com/dadubemrv/image/upload/v1789124455/sppno25aptwzywkjelp6.png,https://res.cloudinary.com/dadubemrv/image/upload/v1789124457/or7gbtcpifyljcwcleen.png,https://res.cloudinary.com/dadubemrv/image/upload/v1789124460/ybcgggun5pcdfuminz9d.png,https://res.cloudinary.com/dadubemrv/image/upload/v1789124462/iembev4wsxwznuwmx9u0.png</t>
  </si>
  <si>
    <t>G9-T2-PS</t>
  </si>
  <si>
    <t>2nd Term Ready-to-Teach PowerPoint Slides for Grade 9</t>
  </si>
  <si>
    <t>https://res.cloudinary.com/dadubemrv/image/upload/v1789133530/inq3nqndxtvbwfkdnfsf.png,https://res.cloudinary.com/dadubemrv/image/upload/v1789133532/mahviqq0km6glb5dxiee.png,https://res.cloudinary.com/dadubemrv/image/upload/v1789133535/ioce6w9g54al3trnm9n0.png,https://res.cloudinary.com/dadubemrv/image/upload/v1789133538/u0pgfeghsvtibnw4cm3q.png,https://res.cloudinary.com/dadubemrv/image/upload/v1789133540/exqikiuk0hbow0tmjz80.png,https://res.cloudinary.com/dadubemrv/image/upload/v1789133543/vr7skihgfcfksfe57cyt.png,https://res.cloudinary.com/dadubemrv/image/upload/v1789133546/m2edtwdwfp3o0xkrnxvj.png,https://res.cloudinary.com/dadubemrv/image/upload/v1789133548/wfusexvrblmvufjfljev.png,https://res.cloudinary.com/dadubemrv/image/upload/v1789133551/oeegcioaczlwd5sph4aa.png,https://res.cloudinary.com/dadubemrv/image/upload/v1789133553/ov64cvucdcbab5i8pn8g.png,https://res.cloudinary.com/dadubemrv/image/upload/v1789133556/uzzcq4ff0emghvu03rhi.png,https://res.cloudinary.com/dadubemrv/image/upload/v1789133558/zosb9z2jcpfx397dtihw.png,https://res.cloudinary.com/dadubemrv/image/upload/v1789133563/d2j4jtjvyvj1mfq2veib.png,https://res.cloudinary.com/dadubemrv/image/upload/v1789133565/xx4f2gbwhgayt6neorjs.png,https://res.cloudinary.com/dadubemrv/image/upload/v1789133567/u78t12jjm26oq9oflyai.png,https://res.cloudinary.com/dadubemrv/image/upload/v1789133569/zhpmh0k3s2rtkmq0mpuy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</si>
</sst>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d"/>
    <numFmt numFmtId="165" formatCode="m\-d\-yyyy"/>
  </numFmts>
  <fonts count="10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  <font>
      <sz val="10"/>
      <color theme="1"/>
      <name val="Arial"/>
    </font>
    <font>
      <u/>
      <sz val="10"/>
      <color rgb="FF0000FF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rgb="FF1155CC"/>
      <name val="Arial"/>
    </font>
    <font>
      <u/>
      <sz val="10"/>
      <color theme="1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9">
    <xf numFmtId="0" fontId="0" fillId="0" borderId="0" xfId="0" applyFont="1" applyAlignment="1"/>
    <xf numFmtId="0" fontId="1" fillId="0" borderId="0" xfId="0" applyFont="1" applyAlignment="1"/>
    <xf numFmtId="4" fontId="1" fillId="0" borderId="0" xfId="0" applyNumberFormat="1" applyFont="1" applyAlignment="1"/>
    <xf numFmtId="0" fontId="2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14" fontId="1" fillId="0" borderId="0" xfId="0" applyNumberFormat="1" applyFont="1" applyAlignment="1"/>
    <xf numFmtId="0" fontId="3" fillId="0" borderId="0" xfId="0" applyFont="1" applyAlignment="1"/>
    <xf numFmtId="0" fontId="1" fillId="0" borderId="0" xfId="0" applyFont="1" applyAlignment="1">
      <alignment wrapText="1"/>
    </xf>
    <xf numFmtId="4" fontId="1" fillId="0" borderId="0" xfId="0" applyNumberFormat="1" applyFont="1" applyAlignment="1"/>
    <xf numFmtId="0" fontId="1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4" fontId="3" fillId="0" borderId="0" xfId="0" applyNumberFormat="1" applyFont="1" applyAlignment="1">
      <alignment horizontal="right"/>
    </xf>
    <xf numFmtId="0" fontId="6" fillId="0" borderId="0" xfId="0" applyFont="1" applyAlignment="1"/>
    <xf numFmtId="165" fontId="1" fillId="0" borderId="0" xfId="0" applyNumberFormat="1" applyFont="1" applyAlignment="1"/>
    <xf numFmtId="0" fontId="7" fillId="0" borderId="0" xfId="0" applyFont="1" applyAlignment="1"/>
    <xf numFmtId="4" fontId="1" fillId="0" borderId="0" xfId="0" applyNumberFormat="1" applyFont="1"/>
    <xf numFmtId="0" fontId="8" fillId="0" borderId="0" xfId="0" applyFont="1" applyAlignment="1"/>
    <xf numFmtId="0" fontId="1" fillId="0" borderId="0" xfId="0" applyFont="1"/>
    <xf numFmtId="0" fontId="4" fillId="0" borderId="0" xfId="0" applyFont="1" applyAlignment="1">
      <alignment wrapText="1"/>
    </xf>
    <xf numFmtId="0" fontId="9" fillId="0" borderId="0" xfId="1" applyFill="1" applyAlignment="1">
      <alignment wrapText="1"/>
    </xf>
    <xf numFmtId="0" fontId="1" fillId="0" borderId="0" xfId="0" quotePrefix="1" applyFont="1" applyAlignment="1">
      <alignment wrapText="1"/>
    </xf>
    <xf numFmtId="0" fontId="9" fillId="0" borderId="0" xfId="1" applyAlignment="1"/>
    <xf numFmtId="0" fontId="9" fillId="0" borderId="0" xfId="1" applyAlignment="1">
      <alignment wrapText="1"/>
    </xf>
    <xf numFmtId="0" fontId="0" fillId="0" borderId="0" xfId="0" applyFont="1" applyAlignment="1">
      <alignment wrapText="1"/>
    </xf>
    <xf numFmtId="0" fontId="9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7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eetMetadata" Target="metadata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i.imgur.com/IXUG78E.jpeg" TargetMode="External" /><Relationship Id="rId18" Type="http://schemas.openxmlformats.org/officeDocument/2006/relationships/hyperlink" Target="https://i.imgur.com/CTCvbDz.jpeg" TargetMode="External" /><Relationship Id="rId26" Type="http://schemas.openxmlformats.org/officeDocument/2006/relationships/hyperlink" Target="https://res.cloudinary.com/dadubemrv/image/upload/v1771581341/mt0reu4d16nbbglfigzi.jpg" TargetMode="External" /><Relationship Id="rId39" Type="http://schemas.openxmlformats.org/officeDocument/2006/relationships/hyperlink" Target="https://i.imgur.com/PRWYDB8.jpeg" TargetMode="External" /><Relationship Id="rId21" Type="http://schemas.openxmlformats.org/officeDocument/2006/relationships/hyperlink" Target="https://i.imgur.com/c0IwjHZ.jpeg" TargetMode="External" /><Relationship Id="rId34" Type="http://schemas.openxmlformats.org/officeDocument/2006/relationships/hyperlink" Target="https://i.imgur.com/44eqx0V.jpeg" TargetMode="External" /><Relationship Id="rId42" Type="http://schemas.openxmlformats.org/officeDocument/2006/relationships/hyperlink" Target="https://i.imgur.com/P1inplO.jpeg" TargetMode="External" /><Relationship Id="rId47" Type="http://schemas.openxmlformats.org/officeDocument/2006/relationships/hyperlink" Target="https://i.imgur.com/uDMIvrF.jpeg" TargetMode="External" /><Relationship Id="rId50" Type="http://schemas.openxmlformats.org/officeDocument/2006/relationships/hyperlink" Target="https://i.imgur.com/8n2VCOb.jpeg" TargetMode="External" /><Relationship Id="rId55" Type="http://schemas.openxmlformats.org/officeDocument/2006/relationships/hyperlink" Target="https://i.imgur.com/q2J0K9c.jpeg" TargetMode="External" /><Relationship Id="rId63" Type="http://schemas.openxmlformats.org/officeDocument/2006/relationships/hyperlink" Target="https://res.cloudinary.com/dadubemrv/image/upload/v1784731784/ptqhzxe6hdaphiivprrc.png,https:/res.cloudinary.com/dadubemrv/image/upload/v1784731787/jc6dwnedukuiwimgdgxv.png,https:/res.cloudinary.com/dadubemrv/image/upload/v1784731789/aidqozqvzsxtxmtppi1c.png" TargetMode="External" /><Relationship Id="rId68" Type="http://schemas.openxmlformats.org/officeDocument/2006/relationships/hyperlink" Target="https://res.cloudinary.com/dadubemrv/image/upload/v1771581176/bpjq83f63jehupa4mqs7.jpg" TargetMode="External" /><Relationship Id="rId7" Type="http://schemas.openxmlformats.org/officeDocument/2006/relationships/hyperlink" Target="https://i.imgur.com/taq0wC7.jpeg" TargetMode="External" /><Relationship Id="rId71" Type="http://schemas.openxmlformats.org/officeDocument/2006/relationships/hyperlink" Target="https://res.cloudinary.com/dadubemrv/image/upload/v1788606986/e1zod9iypipnti9jstcl.jpg" TargetMode="External" /><Relationship Id="rId2" Type="http://schemas.openxmlformats.org/officeDocument/2006/relationships/hyperlink" Target="https://i.imgur.com/DKwxWes.jpeg" TargetMode="External" /><Relationship Id="rId16" Type="http://schemas.openxmlformats.org/officeDocument/2006/relationships/hyperlink" Target="https://i.imgur.com/TYIq3or.jpeg" TargetMode="External" /><Relationship Id="rId29" Type="http://schemas.openxmlformats.org/officeDocument/2006/relationships/hyperlink" Target="https://res.cloudinary.com/dadubemrv/image/upload/v1771581176/bpjq83f63jehupa4mqs7.jpg" TargetMode="External" /><Relationship Id="rId11" Type="http://schemas.openxmlformats.org/officeDocument/2006/relationships/hyperlink" Target="https://i.imgur.com/IXUG78E.jpeg" TargetMode="External" /><Relationship Id="rId24" Type="http://schemas.openxmlformats.org/officeDocument/2006/relationships/hyperlink" Target="https://i.imgur.com/PsPVTBV.jpeg" TargetMode="External" /><Relationship Id="rId32" Type="http://schemas.openxmlformats.org/officeDocument/2006/relationships/hyperlink" Target="https://res.cloudinary.com/dadubemrv/image/upload/v1771463118/oreyawsxzur1rlvsgtxv.jpg" TargetMode="External" /><Relationship Id="rId37" Type="http://schemas.openxmlformats.org/officeDocument/2006/relationships/hyperlink" Target="https://i.imgur.com/KDUYUX7.jpeg" TargetMode="External" /><Relationship Id="rId40" Type="http://schemas.openxmlformats.org/officeDocument/2006/relationships/hyperlink" Target="https://i.imgur.com/PRWYDB8.jpeg" TargetMode="External" /><Relationship Id="rId45" Type="http://schemas.openxmlformats.org/officeDocument/2006/relationships/hyperlink" Target="https://i.imgur.com/uDMIvrF.jpeg" TargetMode="External" /><Relationship Id="rId53" Type="http://schemas.openxmlformats.org/officeDocument/2006/relationships/hyperlink" Target="https://i.imgur.com/sVIQDun.jpeg" TargetMode="External" /><Relationship Id="rId58" Type="http://schemas.openxmlformats.org/officeDocument/2006/relationships/hyperlink" Target="https://res.cloudinary.com/dadubemrv/image/upload/v1783263602/yd7hsdwqb5dk19s6pakw.png,https:/res.cloudinary.com/dadubemrv/image/upload/v1783263605/ujoydnhzuhsnv7yic56j.png,https:/res.cloudinary.com/dadubemrv/image/upload/v1783263608/d8tvcndvdvbcscplmsni.png,https:/res.cloudinary.com/dadubemrv/image/upload/v1783263611/xnrnsjt720lvbgoycchm.png" TargetMode="External" /><Relationship Id="rId66" Type="http://schemas.openxmlformats.org/officeDocument/2006/relationships/hyperlink" Target="https://res.cloudinary.com/dadubemrv/image/upload/v1784731784/ptqhzxe6hdaphiivprrc.png,https:/res.cloudinary.com/dadubemrv/image/upload/v1784731787/jc6dwnedukuiwimgdgxv.png,https:/res.cloudinary.com/dadubemrv/image/upload/v1784731789/aidqozqvzsxtxmtppi1c.png" TargetMode="External" /><Relationship Id="rId74" Type="http://schemas.openxmlformats.org/officeDocument/2006/relationships/hyperlink" Target="https://res.cloudinary.com/dadubemrv/image/upload/v1789122820/qhuxqf2912wucr2gwgb8.png,https:/res.cloudinary.com/dadubemrv/image/upload/v1789122822/adjxktvd0a3amdgquji6.png,https:/res.cloudinary.com/dadubemrv/image/upload/v1789122825/bhbnu5jiku9ofctao3b0.png,https:/res.cloudinary.com/dadubemrv/image/upload/v1789122827/uad432iijjvcvjxb8hd1.png" TargetMode="External" /><Relationship Id="rId5" Type="http://schemas.openxmlformats.org/officeDocument/2006/relationships/hyperlink" Target="https://i.imgur.com/taq0wC7.jpeg" TargetMode="External" /><Relationship Id="rId15" Type="http://schemas.openxmlformats.org/officeDocument/2006/relationships/hyperlink" Target="https://i.imgur.com/TYIq3or.jpeg" TargetMode="External" /><Relationship Id="rId23" Type="http://schemas.openxmlformats.org/officeDocument/2006/relationships/hyperlink" Target="https://i.imgur.com/PsPVTBV.jpeg" TargetMode="External" /><Relationship Id="rId28" Type="http://schemas.openxmlformats.org/officeDocument/2006/relationships/hyperlink" Target="https://res.cloudinary.com/dadubemrv/image/upload/v1771581341/mt0reu4d16nbbglfigzi.jpg" TargetMode="External" /><Relationship Id="rId36" Type="http://schemas.openxmlformats.org/officeDocument/2006/relationships/hyperlink" Target="https://i.imgur.com/KDUYUX7.jpeg" TargetMode="External" /><Relationship Id="rId49" Type="http://schemas.openxmlformats.org/officeDocument/2006/relationships/hyperlink" Target="https://i.imgur.com/8n2VCOb.jpeg" TargetMode="External" /><Relationship Id="rId57" Type="http://schemas.openxmlformats.org/officeDocument/2006/relationships/hyperlink" Target="https://res.cloudinary.com/dadubemrv/image/upload/v1784692768/blzn2f4qf4csagllrdmj.png,https:/res.cloudinary.com/dadubemrv/image/upload/v1784692772/mlwmihwoocbpcd5of6rx.png,https:/res.cloudinary.com/dadubemrv/image/upload/v1784692776/adpmufdqkz5qxw5yzj0p.png" TargetMode="External" /><Relationship Id="rId61" Type="http://schemas.openxmlformats.org/officeDocument/2006/relationships/hyperlink" Target="https://res.cloudinary.com/dadubemrv/image/upload/v1784692768/blzn2f4qf4csagllrdmj.png,https:/res.cloudinary.com/dadubemrv/image/upload/v1784692772/mlwmihwoocbpcd5of6rx.png,https:/res.cloudinary.com/dadubemrv/image/upload/v1784692776/adpmufdqkz5qxw5yzj0p.png" TargetMode="External" /><Relationship Id="rId10" Type="http://schemas.openxmlformats.org/officeDocument/2006/relationships/hyperlink" Target="https://i.imgur.com/GzJQ9w9.jpeg" TargetMode="External" /><Relationship Id="rId19" Type="http://schemas.openxmlformats.org/officeDocument/2006/relationships/hyperlink" Target="https://i.imgur.com/CTCvbDz.jpeg" TargetMode="External" /><Relationship Id="rId31" Type="http://schemas.openxmlformats.org/officeDocument/2006/relationships/hyperlink" Target="https://res.cloudinary.com/dadubemrv/image/upload/v1784259489/jon7ha1w9jssifhlph7u.png,https:/res.cloudinary.com/dadubemrv/image/upload/v1784259493/l9iore0gcpvw7hcecvvt.png,https:/res.cloudinary.com/dadubemrv/image/upload/v1784259496/fyqiathetzwuch9vy3t7.png" TargetMode="External" /><Relationship Id="rId44" Type="http://schemas.openxmlformats.org/officeDocument/2006/relationships/hyperlink" Target="https://i.imgur.com/P1inplO.jpeg" TargetMode="External" /><Relationship Id="rId52" Type="http://schemas.openxmlformats.org/officeDocument/2006/relationships/hyperlink" Target="https://i.imgur.com/sVIQDun.jpeg" TargetMode="External" /><Relationship Id="rId60" Type="http://schemas.openxmlformats.org/officeDocument/2006/relationships/hyperlink" Target="https://res.cloudinary.com/dadubemrv/image/upload/v1784868820/ozzzxppeyyvj0s2tjymk.png,https:/res.cloudinary.com/dadubemrv/image/upload/v1784868830/kgezh16t4knvga2qdead.png,https:/res.cloudinary.com/dadubemrv/image/upload/v1784868834/juzddujgsxbdnu454ck5.png" TargetMode="External" /><Relationship Id="rId65" Type="http://schemas.openxmlformats.org/officeDocument/2006/relationships/hyperlink" Target="https://res.cloudinary.com/dadubemrv/image/upload/v1783263602/yd7hsdwqb5dk19s6pakw.png,https:/res.cloudinary.com/dadubemrv/image/upload/v1783263605/ujoydnhzuhsnv7yic56j.png,https:/res.cloudinary.com/dadubemrv/image/upload/v1783263608/d8tvcndvdvbcscplmsni.png,https:/res.cloudinary.com/dadubemrv/image/upload/v1783263611/xnrnsjt720lvbgoycchm.png" TargetMode="External" /><Relationship Id="rId73" Type="http://schemas.openxmlformats.org/officeDocument/2006/relationships/hyperlink" Target="https://res.cloudinary.com/dadubemrv/image/upload/v1789093364/d294yhizyzhlnrbjm9v8.jpg" TargetMode="External" /><Relationship Id="rId4" Type="http://schemas.openxmlformats.org/officeDocument/2006/relationships/hyperlink" Target="https://i.imgur.com/DKwxWes.jpeg" TargetMode="External" /><Relationship Id="rId9" Type="http://schemas.openxmlformats.org/officeDocument/2006/relationships/hyperlink" Target="https://i.imgur.com/GzJQ9w9.jpeg" TargetMode="External" /><Relationship Id="rId14" Type="http://schemas.openxmlformats.org/officeDocument/2006/relationships/hyperlink" Target="https://i.imgur.com/TYIq3or.jpeg" TargetMode="External" /><Relationship Id="rId22" Type="http://schemas.openxmlformats.org/officeDocument/2006/relationships/hyperlink" Target="https://i.imgur.com/c0IwjHZ.jpeg" TargetMode="External" /><Relationship Id="rId27" Type="http://schemas.openxmlformats.org/officeDocument/2006/relationships/hyperlink" Target="https://res.cloudinary.com/dadubemrv/image/upload/v1771581341/mt0reu4d16nbbglfigzi.jpg" TargetMode="External" /><Relationship Id="rId30" Type="http://schemas.openxmlformats.org/officeDocument/2006/relationships/hyperlink" Target="https://res.cloudinary.com/dadubemrv/image/upload/v1771581176/bpjq83f63jehupa4mqs7.jpg" TargetMode="External" /><Relationship Id="rId35" Type="http://schemas.openxmlformats.org/officeDocument/2006/relationships/hyperlink" Target="https://i.imgur.com/44eqx0V.jpeg" TargetMode="External" /><Relationship Id="rId43" Type="http://schemas.openxmlformats.org/officeDocument/2006/relationships/hyperlink" Target="https://i.imgur.com/P1inplO.jpeg" TargetMode="External" /><Relationship Id="rId48" Type="http://schemas.openxmlformats.org/officeDocument/2006/relationships/hyperlink" Target="https://i.imgur.com/8n2VCOb.jpeg" TargetMode="External" /><Relationship Id="rId56" Type="http://schemas.openxmlformats.org/officeDocument/2006/relationships/hyperlink" Target="https://i.imgur.com/q2J0K9c.jpeg" TargetMode="External" /><Relationship Id="rId64" Type="http://schemas.openxmlformats.org/officeDocument/2006/relationships/hyperlink" Target="https://res.cloudinary.com/dadubemrv/image/upload/v1784692768/blzn2f4qf4csagllrdmj.png,https:/res.cloudinary.com/dadubemrv/image/upload/v1784692772/mlwmihwoocbpcd5of6rx.png,https:/res.cloudinary.com/dadubemrv/image/upload/v1784692776/adpmufdqkz5qxw5yzj0p.png" TargetMode="External" /><Relationship Id="rId69" Type="http://schemas.openxmlformats.org/officeDocument/2006/relationships/hyperlink" Target="https://res.cloudinary.com/dadubemrv/image/upload/v1787629077/vggbz4e8touzqtnlxtnf.png,https:/res.cloudinary.com/dadubemrv/image/upload/v1787629079/gxdpnle4x2alzlx3axnj.png,https:/res.cloudinary.com/dadubemrv/image/upload/v1787629082/f4vzueldnbezcp9gkj8n.png,https:/res.cloudinary.com/dadubemrv/image/upload/v1787629085/lthuwr9lmjlxjeosnrxp.png,https:/res.cloudinary.com/dadubemrv/image/upload/v1787629088/bz6lix2ws4fbkydcs8ri.png" TargetMode="External" /><Relationship Id="rId8" Type="http://schemas.openxmlformats.org/officeDocument/2006/relationships/hyperlink" Target="https://i.imgur.com/GzJQ9w9.jpeg" TargetMode="External" /><Relationship Id="rId51" Type="http://schemas.openxmlformats.org/officeDocument/2006/relationships/hyperlink" Target="https://i.imgur.com/sVIQDun.jpeg" TargetMode="External" /><Relationship Id="rId72" Type="http://schemas.openxmlformats.org/officeDocument/2006/relationships/hyperlink" Target="https://res.cloudinary.com/dadubemrv/image/upload/v1789021349/tciyvgftvhrumpsctos5.jpg" TargetMode="External" /><Relationship Id="rId3" Type="http://schemas.openxmlformats.org/officeDocument/2006/relationships/hyperlink" Target="https://i.imgur.com/DKwxWes.jpeg" TargetMode="External" /><Relationship Id="rId12" Type="http://schemas.openxmlformats.org/officeDocument/2006/relationships/hyperlink" Target="https://i.imgur.com/IXUG78E.jpeg" TargetMode="External" /><Relationship Id="rId17" Type="http://schemas.openxmlformats.org/officeDocument/2006/relationships/hyperlink" Target="https://i.imgur.com/CTCvbDz.jpeg" TargetMode="External" /><Relationship Id="rId25" Type="http://schemas.openxmlformats.org/officeDocument/2006/relationships/hyperlink" Target="https://i.imgur.com/PsPVTBV.jpeg" TargetMode="External" /><Relationship Id="rId33" Type="http://schemas.openxmlformats.org/officeDocument/2006/relationships/hyperlink" Target="https://res.cloudinary.com/dadubemrv/image/upload/v1771462496/coog2txapkkedhuakqjx.jpg" TargetMode="External" /><Relationship Id="rId38" Type="http://schemas.openxmlformats.org/officeDocument/2006/relationships/hyperlink" Target="https://i.imgur.com/KDUYUX7.jpeg" TargetMode="External" /><Relationship Id="rId46" Type="http://schemas.openxmlformats.org/officeDocument/2006/relationships/hyperlink" Target="https://i.imgur.com/uDMIvrF.jpeg" TargetMode="External" /><Relationship Id="rId59" Type="http://schemas.openxmlformats.org/officeDocument/2006/relationships/hyperlink" Target="https://res.cloudinary.com/dadubemrv/image/upload/v1784731784/ptqhzxe6hdaphiivprrc.png,https:/res.cloudinary.com/dadubemrv/image/upload/v1784731787/jc6dwnedukuiwimgdgxv.png,https:/res.cloudinary.com/dadubemrv/image/upload/v1784731789/aidqozqvzsxtxmtppi1c.png" TargetMode="External" /><Relationship Id="rId67" Type="http://schemas.openxmlformats.org/officeDocument/2006/relationships/hyperlink" Target="https://res.cloudinary.com/dadubemrv/image/upload/v1771581176/bpjq83f63jehupa4mqs7.jpg" TargetMode="External" /><Relationship Id="rId20" Type="http://schemas.openxmlformats.org/officeDocument/2006/relationships/hyperlink" Target="https://i.imgur.com/c0IwjHZ.jpeg" TargetMode="External" /><Relationship Id="rId41" Type="http://schemas.openxmlformats.org/officeDocument/2006/relationships/hyperlink" Target="https://i.imgur.com/PRWYDB8.jpeg" TargetMode="External" /><Relationship Id="rId54" Type="http://schemas.openxmlformats.org/officeDocument/2006/relationships/hyperlink" Target="https://i.imgur.com/q2J0K9c.jpeg" TargetMode="External" /><Relationship Id="rId62" Type="http://schemas.openxmlformats.org/officeDocument/2006/relationships/hyperlink" Target="https://res.cloudinary.com/dadubemrv/image/upload/v1783263602/yd7hsdwqb5dk19s6pakw.png,https:/res.cloudinary.com/dadubemrv/image/upload/v1783263605/ujoydnhzuhsnv7yic56j.png,https:/res.cloudinary.com/dadubemrv/image/upload/v1783263608/d8tvcndvdvbcscplmsni.png,https:/res.cloudinary.com/dadubemrv/image/upload/v1783263611/xnrnsjt720lvbgoycchm.png" TargetMode="External" /><Relationship Id="rId70" Type="http://schemas.openxmlformats.org/officeDocument/2006/relationships/hyperlink" Target="https://res.cloudinary.com/dadubemrv/image/upload/v1788323365/t7oohow4h6hdk0okxogv.jpg" TargetMode="External" /><Relationship Id="rId1" Type="http://schemas.openxmlformats.org/officeDocument/2006/relationships/hyperlink" Target="https://res.cloudinary.com/dadubemrv/image/upload/v1771470535/pv600hy73vw3w5yfrdrm.jpg" TargetMode="External" /><Relationship Id="rId6" Type="http://schemas.openxmlformats.org/officeDocument/2006/relationships/hyperlink" Target="https://i.imgur.com/taq0wC7.jpeg" TargetMode="External" 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-KDJsZditKS4m47wiWkkrUHdmr6OGHRS/view?usp=drivesdk" TargetMode="External" /><Relationship Id="rId13" Type="http://schemas.openxmlformats.org/officeDocument/2006/relationships/hyperlink" Target="https://drive.google.com/file/d/150NUP_Nq2tev-Qn00VInZTAaPrUAssmQ/view?usp=drivesdk" TargetMode="External" /><Relationship Id="rId3" Type="http://schemas.openxmlformats.org/officeDocument/2006/relationships/hyperlink" Target="https://drive.google.com/file/d/150NUP_Nq2tev-Qn00VInZTAaPrUAssmQ/view?usp=drivesdk" TargetMode="External" /><Relationship Id="rId7" Type="http://schemas.openxmlformats.org/officeDocument/2006/relationships/hyperlink" Target="https://drive.google.com/file/d/150NUP_Nq2tev-Qn00VInZTAaPrUAssmQ/view?usp=drivesdk" TargetMode="External" /><Relationship Id="rId12" Type="http://schemas.openxmlformats.org/officeDocument/2006/relationships/hyperlink" Target="https://drive.google.com/file/d/1-KDJsZditKS4m47wiWkkrUHdmr6OGHRS/view?usp=drivesdk" TargetMode="External" /><Relationship Id="rId2" Type="http://schemas.openxmlformats.org/officeDocument/2006/relationships/hyperlink" Target="https://drive.google.com/file/d/1-KDJsZditKS4m47wiWkkrUHdmr6OGHRS/view?usp=drivesdk" TargetMode="External" /><Relationship Id="rId16" Type="http://schemas.openxmlformats.org/officeDocument/2006/relationships/hyperlink" Target="https://drive.google.com/file/d/150NUP_Nq2tev-Qn00VInZTAaPrUAssmQ/view?usp=drivesdk" TargetMode="External" /><Relationship Id="rId1" Type="http://schemas.openxmlformats.org/officeDocument/2006/relationships/hyperlink" Target="https://drive.google.com/file/d/1x4fsJFRIZ1vsqPk6OXbzsGErE1XdDNJQ/view?usp=drivesdk" TargetMode="External" /><Relationship Id="rId6" Type="http://schemas.openxmlformats.org/officeDocument/2006/relationships/hyperlink" Target="https://drive.google.com/file/d/1-KDJsZditKS4m47wiWkkrUHdmr6OGHRS/view?usp=drivesdk" TargetMode="External" /><Relationship Id="rId11" Type="http://schemas.openxmlformats.org/officeDocument/2006/relationships/hyperlink" Target="https://drive.google.com/file/d/150NUP_Nq2tev-Qn00VInZTAaPrUAssmQ/view?usp=drivesdk" TargetMode="External" /><Relationship Id="rId5" Type="http://schemas.openxmlformats.org/officeDocument/2006/relationships/hyperlink" Target="https://drive.google.com/file/d/150NUP_Nq2tev-Qn00VInZTAaPrUAssmQ/view?usp=drivesdk" TargetMode="External" /><Relationship Id="rId15" Type="http://schemas.openxmlformats.org/officeDocument/2006/relationships/hyperlink" Target="https://drive.google.com/file/d/1EE_6jJP56HUvwmqvAvF3kXdhOI1EKpPi/view?usp=drivesdk" TargetMode="External" /><Relationship Id="rId10" Type="http://schemas.openxmlformats.org/officeDocument/2006/relationships/hyperlink" Target="https://drive.google.com/file/d/1-KDJsZditKS4m47wiWkkrUHdmr6OGHRS/view?usp=drivesdk" TargetMode="External" /><Relationship Id="rId4" Type="http://schemas.openxmlformats.org/officeDocument/2006/relationships/hyperlink" Target="https://drive.google.com/file/d/1-KDJsZditKS4m47wiWkkrUHdmr6OGHRS/view?usp=drivesdk" TargetMode="External" /><Relationship Id="rId9" Type="http://schemas.openxmlformats.org/officeDocument/2006/relationships/hyperlink" Target="https://drive.google.com/file/d/150NUP_Nq2tev-Qn00VInZTAaPrUAssmQ/view?usp=drivesdk" TargetMode="External" /><Relationship Id="rId14" Type="http://schemas.openxmlformats.org/officeDocument/2006/relationships/hyperlink" Target="https://drive.google.com/file/d/1-KDJsZditKS4m47wiWkkrUHdmr6OGHRS/view?usp=drivesdk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993"/>
  <sheetViews>
    <sheetView tabSelected="1" workbookViewId="0">
      <pane xSplit="1" ySplit="1" topLeftCell="C41" activePane="bottomRight" state="frozen"/>
      <selection activeCell="A5" sqref="A5"/>
      <selection pane="bottomLeft" activeCell="D30" sqref="D30"/>
      <selection pane="topRight" activeCell="C1" sqref="C1"/>
      <selection pane="bottomRight" activeCell="D67" sqref="D67"/>
    </sheetView>
  </sheetViews>
  <sheetFormatPr defaultColWidth="12.67578125" defaultRowHeight="15.75" customHeight="1" x14ac:dyDescent="0.15"/>
  <cols>
    <col min="16" max="16" width="21.03515625" customWidth="1"/>
  </cols>
  <sheetData>
    <row r="1" spans="1:28" ht="12.75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t="s">
        <v>113</v>
      </c>
      <c r="M1" t="s">
        <v>116</v>
      </c>
      <c r="N1" t="s">
        <v>146</v>
      </c>
      <c r="O1" t="s">
        <v>153</v>
      </c>
      <c r="P1" t="s">
        <v>158</v>
      </c>
      <c r="Q1" t="s">
        <v>163</v>
      </c>
      <c r="R1" t="s">
        <v>164</v>
      </c>
      <c r="S1" t="s">
        <v>171</v>
      </c>
    </row>
    <row r="2" spans="1:28" ht="15.75" customHeight="1" x14ac:dyDescent="0.15">
      <c r="A2" s="1" t="s">
        <v>11</v>
      </c>
      <c r="B2" s="1" t="s">
        <v>12</v>
      </c>
      <c r="C2" s="3" t="s">
        <v>13</v>
      </c>
      <c r="E2" s="1" t="str">
        <f ca="1">CONCATENATE(_xlfn._LONGTEXT("Nabibigatan ka ba sa laptop at projector para sa PowerPoint presentations mo, KasaMath?  
Tinatamad ka ba, walang time, o nahihirapang gumawa ng PowerPoint?
I-download mo na itong ating **FREE printable Math handouts** para:
- **Tipid ka sa oras** at ma","kapag-focus ka sa lesson planning mo.  
- **Maganda at consistent ang formatting** ng figures at mathematical expressions.  
- **Magaan na ang dala mong gamit** sa classroom dahil wala nang laptop at projector.  
- **Di na problema ang ipapa-seatwork at a","ctivity** dahil meron na sa handouts.  
- **Mas focused ang bata** dahil di na sila titingin sa visual aids na nasa board pag nagsusulat.  
Kung gusto mo namang suportahan ang mission ko na pagbibigay ng FREE Math teaching resources, pwede kang [mag-dona","te](https://texmathpro.github.io/donate/), KasaMath.
## 📥 Download the Handouts"), CHAR(10), CHAR(10), _xlfn.TEXTJOIN(CHAR(10), TRUE, Sheet2!G10:'Sheet2'!J13),"
---
Kung gusto mo namang maging updated sa promos, FREEBIES, discounts, at Math-related content, mag-subscribe ka lang sa ating mailing list.  
Mag-email ka lang ng **SUBSCRIBE** sa [texmathpro@gmail.com](mailto:texmathpro@gmail.com?subject=Subscribe&amp;"&amp;"body=SUBSCRIBE).
---
**Happy teaching, KasaMath!**
[Jonathan Bacolod](https://texmathpro.github.io/about/)  
Owner and CEO  
[TeXMathPro](https://texmathpro.github.io/): Math Teaching Beautified  
[texmathpro@gmail.com](mailto:texmathpro@gmail.com?subj"&amp;"ect=Subscribe&amp;body=SUBSCRIBE)", "{{&lt; adsense &gt;}}")</f>
        <v>Nabibigatan ka ba sa laptop at projector para sa PowerPoint presentations mo, KasaMath?  
Tinatamad ka ba, walang time, o nahihirapang gumawa ng PowerPoint?
I-download mo na itong ating **FREE printable Math handouts** para:
- **Tipid ka sa oras** at makapag-focus ka sa lesson planning mo.  
- **Maganda at consistent ang formatting** ng figures at mathematical expressions.  
- **Magaan na ang dala mong gamit** sa classroom dahil wala nang laptop at projector.  
- **Di na problema ang ipapa-seatwork at activity** dahil meron na sa handouts.  
- **Mas focused ang bata** dahil di na sila titingin sa visual aids na nasa board pag nagsusulat.  
Kung gusto mo namang suportahan ang mission ko na pagbibigay ng FREE Math teaching resources, pwede kang [mag-donate](https://texmathpro.github.io/donate/), KasaMath.
## 📥 Download the Handouts
- [Grade 7 Handouts for the 1st Term](https://drive.google.com/file/d/150NUP_Nq2tev-Qn00VInZTAaPrUAssmQ/view?usp=drivesdk)
- [Grade 9 Handouts for the 1st Term](https://drive.google.com/file/d/1x4fsJFRIZ1vsqPk6OXbzsGErE1XdDNJQ/view?usp=drivesdk)
- [Grade 7 Handouts for the 2nd Term](https://drive.google.com/file/d/1-KDJsZditKS4m47wiWkkrUHdmr6OGHRS/view?usp=drivesdk)
- [Grade 9 Handouts for the 2nd Term](https://drive.google.com/file/d/1EE_6jJP56HUvwmqvAvF3kXdhOI1EKpPi/view?usp=drivesdk)
---
Kung gusto mo namang maging updated sa promos, FREEBIES, discounts, at Math-related content, mag-subscribe ka lang sa ating mailing list.  
Mag-email ka lang ng **SUBSCRIBE** sa [texmathpro@gmail.com](mailto:texmathpro@gmail.com?subject=Subscribe&amp;body=SUBSCRIBE).
---
**Happy teaching, KasaMath!**
[Jonathan Bacolod](https://texmathpro.github.io/about/)  
Owner and CEO  
[TeXMathPro](https://texmathpro.github.io/): Math Teaching Beautified  
[texmathpro@gmail.com](mailto:texmathpro@gmail.com?subject=Subscribe&amp;body=SUBSCRIBE){{&lt; adsense &gt;}}</v>
      </c>
      <c r="F2" s="2">
        <v>500</v>
      </c>
      <c r="G2" s="2">
        <v>0</v>
      </c>
      <c r="H2" s="4" t="b">
        <v>1</v>
      </c>
      <c r="I2" s="5">
        <v>46172</v>
      </c>
      <c r="J2" s="4" t="b">
        <v>1</v>
      </c>
      <c r="K2" s="17">
        <v>46178</v>
      </c>
    </row>
    <row r="3" spans="1:28" ht="15.75" customHeight="1" x14ac:dyDescent="0.15">
      <c r="A3" s="7"/>
      <c r="B3" s="7"/>
      <c r="C3" s="4"/>
      <c r="D3" s="8"/>
      <c r="E3" s="4"/>
      <c r="F3" s="9"/>
      <c r="G3" s="9"/>
      <c r="H3" s="4"/>
      <c r="I3" s="5"/>
      <c r="J3" s="4"/>
      <c r="K3" s="6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</row>
    <row r="4" spans="1:28" ht="15.75" customHeight="1" x14ac:dyDescent="0.15">
      <c r="A4" s="13" t="s">
        <v>14</v>
      </c>
      <c r="B4" s="13" t="s">
        <v>15</v>
      </c>
      <c r="C4" s="16" t="s">
        <v>16</v>
      </c>
      <c r="D4" s="8">
        <f>Sheet2!$D$2</f>
        <v>0</v>
      </c>
      <c r="E4" s="4">
        <f>Sheet2!$A$2</f>
        <v>0</v>
      </c>
      <c r="F4" s="9">
        <v>120</v>
      </c>
      <c r="G4" s="9">
        <v>84</v>
      </c>
      <c r="H4" s="4" t="b">
        <v>0</v>
      </c>
      <c r="I4" s="5">
        <v>46176</v>
      </c>
      <c r="J4" s="4" t="b">
        <v>0</v>
      </c>
      <c r="K4" s="17">
        <v>46176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</row>
    <row r="5" spans="1:28" ht="15.75" customHeight="1" x14ac:dyDescent="0.15">
      <c r="A5" s="13" t="s">
        <v>17</v>
      </c>
      <c r="B5" s="13" t="s">
        <v>18</v>
      </c>
      <c r="C5" s="14" t="s">
        <v>16</v>
      </c>
      <c r="D5" s="8">
        <f>Sheet2!$E$2</f>
        <v>0</v>
      </c>
      <c r="E5" s="4">
        <f>Sheet2!$B$2</f>
        <v>0</v>
      </c>
      <c r="F5" s="15">
        <v>165</v>
      </c>
      <c r="G5" s="15">
        <v>115</v>
      </c>
      <c r="H5" s="4" t="b">
        <v>0</v>
      </c>
      <c r="I5" s="5">
        <v>46176</v>
      </c>
      <c r="J5" s="4" t="b">
        <v>0</v>
      </c>
      <c r="K5" s="17">
        <v>46176</v>
      </c>
    </row>
    <row r="6" spans="1:28" ht="15.75" customHeight="1" x14ac:dyDescent="0.15">
      <c r="A6" s="13" t="s">
        <v>196</v>
      </c>
      <c r="B6" s="13" t="s">
        <v>248</v>
      </c>
      <c r="C6" s="14" t="s">
        <v>16</v>
      </c>
      <c r="D6" s="8">
        <f>Sheet2!$F$2</f>
        <v>0</v>
      </c>
      <c r="E6" s="4">
        <f>Sheet2!$C$2</f>
        <v>0</v>
      </c>
      <c r="F6" s="15">
        <v>350</v>
      </c>
      <c r="G6" s="15">
        <v>245</v>
      </c>
      <c r="H6" s="4" t="b">
        <v>0</v>
      </c>
      <c r="I6" s="5">
        <v>46176</v>
      </c>
      <c r="J6" s="4" t="b">
        <v>0</v>
      </c>
      <c r="K6" s="17">
        <v>46176</v>
      </c>
    </row>
    <row r="7" spans="1:28" ht="15.75" customHeight="1" x14ac:dyDescent="0.15">
      <c r="A7" s="13" t="s">
        <v>19</v>
      </c>
      <c r="B7" s="13" t="s">
        <v>20</v>
      </c>
      <c r="C7" s="16" t="s">
        <v>21</v>
      </c>
      <c r="D7" s="8">
        <f>Sheet2!$D$2</f>
        <v>0</v>
      </c>
      <c r="E7" s="4">
        <f>Sheet2!$A$2</f>
        <v>0</v>
      </c>
      <c r="F7" s="9">
        <v>120</v>
      </c>
      <c r="G7" s="9">
        <v>84</v>
      </c>
      <c r="H7" s="4" t="b">
        <v>0</v>
      </c>
      <c r="I7" s="5">
        <v>46176</v>
      </c>
      <c r="J7" s="4" t="b">
        <v>0</v>
      </c>
      <c r="K7" s="17">
        <v>46176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</row>
    <row r="8" spans="1:28" ht="15.75" customHeight="1" x14ac:dyDescent="0.15">
      <c r="A8" s="13" t="s">
        <v>22</v>
      </c>
      <c r="B8" s="13" t="s">
        <v>23</v>
      </c>
      <c r="C8" s="14" t="s">
        <v>21</v>
      </c>
      <c r="D8" s="8">
        <f>Sheet2!$E$2</f>
        <v>0</v>
      </c>
      <c r="E8" s="4">
        <f>Sheet2!$B$2</f>
        <v>0</v>
      </c>
      <c r="F8" s="15">
        <v>165</v>
      </c>
      <c r="G8" s="15">
        <v>115</v>
      </c>
      <c r="H8" s="4" t="b">
        <v>0</v>
      </c>
      <c r="I8" s="5">
        <v>46176</v>
      </c>
      <c r="J8" s="4" t="b">
        <v>0</v>
      </c>
      <c r="K8" s="17">
        <v>46176</v>
      </c>
    </row>
    <row r="9" spans="1:28" ht="15.75" customHeight="1" x14ac:dyDescent="0.15">
      <c r="A9" s="13" t="s">
        <v>197</v>
      </c>
      <c r="B9" s="13" t="s">
        <v>249</v>
      </c>
      <c r="C9" s="14" t="s">
        <v>21</v>
      </c>
      <c r="D9" s="8">
        <f>Sheet2!$F$2</f>
        <v>0</v>
      </c>
      <c r="E9" s="4">
        <f>Sheet2!$C$2</f>
        <v>0</v>
      </c>
      <c r="F9" s="15">
        <v>350</v>
      </c>
      <c r="G9" s="15">
        <v>245</v>
      </c>
      <c r="H9" s="4" t="b">
        <v>0</v>
      </c>
      <c r="I9" s="5">
        <v>46176</v>
      </c>
      <c r="J9" s="4" t="b">
        <v>0</v>
      </c>
      <c r="K9" s="17">
        <v>46176</v>
      </c>
    </row>
    <row r="10" spans="1:28" ht="15.75" customHeight="1" x14ac:dyDescent="0.15">
      <c r="A10" s="13" t="s">
        <v>24</v>
      </c>
      <c r="B10" s="13" t="s">
        <v>25</v>
      </c>
      <c r="C10" s="16" t="s">
        <v>26</v>
      </c>
      <c r="D10" s="8">
        <f>Sheet2!$D$2</f>
        <v>0</v>
      </c>
      <c r="E10" s="4">
        <f>Sheet2!$A$2</f>
        <v>0</v>
      </c>
      <c r="F10" s="9">
        <v>120</v>
      </c>
      <c r="G10" s="9">
        <v>84</v>
      </c>
      <c r="H10" s="4" t="b">
        <v>0</v>
      </c>
      <c r="I10" s="5">
        <v>46176</v>
      </c>
      <c r="J10" s="4" t="b">
        <v>0</v>
      </c>
      <c r="K10" s="17">
        <v>46176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</row>
    <row r="11" spans="1:28" ht="15.75" customHeight="1" x14ac:dyDescent="0.15">
      <c r="A11" s="13" t="s">
        <v>27</v>
      </c>
      <c r="B11" s="13" t="s">
        <v>28</v>
      </c>
      <c r="C11" s="14" t="s">
        <v>26</v>
      </c>
      <c r="D11" s="8">
        <f>Sheet2!$E$2</f>
        <v>0</v>
      </c>
      <c r="E11" s="4">
        <f>Sheet2!$B$2</f>
        <v>0</v>
      </c>
      <c r="F11" s="15">
        <v>165</v>
      </c>
      <c r="G11" s="15">
        <v>115</v>
      </c>
      <c r="H11" s="4" t="b">
        <v>0</v>
      </c>
      <c r="I11" s="5">
        <v>46176</v>
      </c>
      <c r="J11" s="4" t="b">
        <v>0</v>
      </c>
      <c r="K11" s="17">
        <v>46176</v>
      </c>
    </row>
    <row r="12" spans="1:28" ht="15.75" customHeight="1" x14ac:dyDescent="0.15">
      <c r="A12" s="13" t="s">
        <v>198</v>
      </c>
      <c r="B12" s="13" t="s">
        <v>250</v>
      </c>
      <c r="C12" s="14" t="s">
        <v>26</v>
      </c>
      <c r="D12" s="8">
        <f>Sheet2!$F$2</f>
        <v>0</v>
      </c>
      <c r="E12" s="4">
        <f>Sheet2!$C$2</f>
        <v>0</v>
      </c>
      <c r="F12" s="15">
        <v>350</v>
      </c>
      <c r="G12" s="15">
        <v>245</v>
      </c>
      <c r="H12" s="4" t="b">
        <v>0</v>
      </c>
      <c r="I12" s="5">
        <v>46176</v>
      </c>
      <c r="J12" s="4" t="b">
        <v>0</v>
      </c>
      <c r="K12" s="17">
        <v>46176</v>
      </c>
    </row>
    <row r="13" spans="1:28" ht="15.75" customHeight="1" x14ac:dyDescent="0.15">
      <c r="A13" s="13" t="s">
        <v>29</v>
      </c>
      <c r="B13" s="13" t="s">
        <v>30</v>
      </c>
      <c r="C13" s="16" t="s">
        <v>31</v>
      </c>
      <c r="D13" s="8">
        <f>Sheet2!$D$2</f>
        <v>0</v>
      </c>
      <c r="E13" s="4">
        <f>Sheet2!$A$2</f>
        <v>0</v>
      </c>
      <c r="F13" s="9">
        <v>120</v>
      </c>
      <c r="G13" s="9">
        <v>84</v>
      </c>
      <c r="H13" s="4" t="b">
        <v>0</v>
      </c>
      <c r="I13" s="5">
        <v>46176</v>
      </c>
      <c r="J13" s="4" t="b">
        <v>0</v>
      </c>
      <c r="K13" s="17">
        <v>46176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</row>
    <row r="14" spans="1:28" ht="15.75" customHeight="1" x14ac:dyDescent="0.15">
      <c r="A14" s="13" t="s">
        <v>32</v>
      </c>
      <c r="B14" s="13" t="s">
        <v>33</v>
      </c>
      <c r="C14" s="14" t="s">
        <v>31</v>
      </c>
      <c r="D14" s="8">
        <f>Sheet2!$E$2</f>
        <v>0</v>
      </c>
      <c r="E14" s="4">
        <f>Sheet2!$B$2</f>
        <v>0</v>
      </c>
      <c r="F14" s="15">
        <v>165</v>
      </c>
      <c r="G14" s="15">
        <v>115</v>
      </c>
      <c r="H14" s="4" t="b">
        <v>0</v>
      </c>
      <c r="I14" s="5">
        <v>46176</v>
      </c>
      <c r="J14" s="4" t="b">
        <v>0</v>
      </c>
      <c r="K14" s="17">
        <v>46176</v>
      </c>
    </row>
    <row r="15" spans="1:28" ht="15.75" customHeight="1" x14ac:dyDescent="0.15">
      <c r="A15" s="13" t="s">
        <v>199</v>
      </c>
      <c r="B15" s="13" t="s">
        <v>251</v>
      </c>
      <c r="C15" s="14" t="s">
        <v>31</v>
      </c>
      <c r="D15" s="8">
        <f>Sheet2!$F$2</f>
        <v>0</v>
      </c>
      <c r="E15" s="4">
        <f>Sheet2!$C$2</f>
        <v>0</v>
      </c>
      <c r="F15" s="15">
        <v>350</v>
      </c>
      <c r="G15" s="15">
        <v>245</v>
      </c>
      <c r="H15" s="4" t="b">
        <v>0</v>
      </c>
      <c r="I15" s="5">
        <v>46176</v>
      </c>
      <c r="J15" s="4" t="b">
        <v>0</v>
      </c>
      <c r="K15" s="17">
        <v>46176</v>
      </c>
    </row>
    <row r="16" spans="1:28" ht="15.75" customHeight="1" x14ac:dyDescent="0.15">
      <c r="A16" s="13" t="s">
        <v>122</v>
      </c>
      <c r="B16" s="13" t="s">
        <v>213</v>
      </c>
      <c r="C16" s="18" t="s">
        <v>34</v>
      </c>
      <c r="D16" s="8">
        <f>Sheet2!$D$2</f>
        <v>0</v>
      </c>
      <c r="E16" s="4">
        <f>Sheet2!$A$2</f>
        <v>0</v>
      </c>
      <c r="F16" s="9">
        <v>120</v>
      </c>
      <c r="G16" s="9">
        <v>84</v>
      </c>
      <c r="H16" s="4" t="b">
        <v>0</v>
      </c>
      <c r="I16" s="5">
        <v>46176</v>
      </c>
      <c r="J16" s="4" t="b">
        <v>0</v>
      </c>
      <c r="K16" s="17">
        <v>46176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</row>
    <row r="17" spans="1:28" ht="15.75" customHeight="1" x14ac:dyDescent="0.15">
      <c r="A17" s="13" t="s">
        <v>123</v>
      </c>
      <c r="B17" s="13" t="s">
        <v>214</v>
      </c>
      <c r="C17" s="18" t="s">
        <v>34</v>
      </c>
      <c r="D17" s="8">
        <f>Sheet2!$E$2</f>
        <v>0</v>
      </c>
      <c r="E17" s="4">
        <f>Sheet2!$B$2</f>
        <v>0</v>
      </c>
      <c r="F17" s="15">
        <v>165</v>
      </c>
      <c r="G17" s="15">
        <v>115</v>
      </c>
      <c r="H17" s="4" t="b">
        <v>0</v>
      </c>
      <c r="I17" s="5">
        <v>46176</v>
      </c>
      <c r="J17" s="4" t="b">
        <v>0</v>
      </c>
      <c r="K17" s="17">
        <v>46176</v>
      </c>
    </row>
    <row r="18" spans="1:28" ht="15.75" customHeight="1" x14ac:dyDescent="0.15">
      <c r="A18" s="13" t="s">
        <v>200</v>
      </c>
      <c r="B18" s="13" t="s">
        <v>252</v>
      </c>
      <c r="C18" s="18" t="s">
        <v>34</v>
      </c>
      <c r="D18" s="8">
        <f>Sheet2!$F$2</f>
        <v>0</v>
      </c>
      <c r="E18" s="4">
        <f>Sheet2!$C$2</f>
        <v>0</v>
      </c>
      <c r="F18" s="15">
        <v>350</v>
      </c>
      <c r="G18" s="15">
        <v>245</v>
      </c>
      <c r="H18" s="4" t="b">
        <v>0</v>
      </c>
      <c r="I18" s="5">
        <v>46176</v>
      </c>
      <c r="J18" s="4" t="b">
        <v>0</v>
      </c>
      <c r="K18" s="17">
        <v>46176</v>
      </c>
    </row>
    <row r="19" spans="1:28" ht="15.75" customHeight="1" x14ac:dyDescent="0.15">
      <c r="A19" s="13" t="s">
        <v>124</v>
      </c>
      <c r="B19" s="13" t="s">
        <v>215</v>
      </c>
      <c r="C19" s="16" t="s">
        <v>35</v>
      </c>
      <c r="D19" s="8">
        <f>Sheet2!$D$2</f>
        <v>0</v>
      </c>
      <c r="E19" s="4">
        <f>Sheet2!$A$2</f>
        <v>0</v>
      </c>
      <c r="F19" s="9">
        <v>120</v>
      </c>
      <c r="G19" s="9">
        <v>84</v>
      </c>
      <c r="H19" s="4" t="b">
        <v>0</v>
      </c>
      <c r="I19" s="5">
        <v>46176</v>
      </c>
      <c r="J19" s="4" t="b">
        <v>0</v>
      </c>
      <c r="K19" s="17">
        <v>46176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</row>
    <row r="20" spans="1:28" ht="15.75" customHeight="1" x14ac:dyDescent="0.15">
      <c r="A20" s="13" t="s">
        <v>125</v>
      </c>
      <c r="B20" s="13" t="s">
        <v>216</v>
      </c>
      <c r="C20" s="14" t="s">
        <v>35</v>
      </c>
      <c r="D20" s="8">
        <f>Sheet2!$E$2</f>
        <v>0</v>
      </c>
      <c r="E20" s="4">
        <f>Sheet2!$B$2</f>
        <v>0</v>
      </c>
      <c r="F20" s="15">
        <v>165</v>
      </c>
      <c r="G20" s="15">
        <v>115</v>
      </c>
      <c r="H20" s="4" t="b">
        <v>0</v>
      </c>
      <c r="I20" s="5">
        <v>46176</v>
      </c>
      <c r="J20" s="4" t="b">
        <v>0</v>
      </c>
      <c r="K20" s="17">
        <v>46176</v>
      </c>
    </row>
    <row r="21" spans="1:28" ht="15.75" customHeight="1" x14ac:dyDescent="0.15">
      <c r="A21" s="13" t="s">
        <v>201</v>
      </c>
      <c r="B21" s="13" t="s">
        <v>253</v>
      </c>
      <c r="C21" s="14" t="s">
        <v>35</v>
      </c>
      <c r="D21" s="8">
        <f>Sheet2!$F$2</f>
        <v>0</v>
      </c>
      <c r="E21" s="4">
        <f>Sheet2!$C$2</f>
        <v>0</v>
      </c>
      <c r="F21" s="15">
        <v>350</v>
      </c>
      <c r="G21" s="15">
        <v>245</v>
      </c>
      <c r="H21" s="4" t="b">
        <v>0</v>
      </c>
      <c r="I21" s="5">
        <v>46176</v>
      </c>
      <c r="J21" s="4" t="b">
        <v>0</v>
      </c>
      <c r="K21" s="17">
        <v>46176</v>
      </c>
    </row>
    <row r="22" spans="1:28" ht="15.75" customHeight="1" x14ac:dyDescent="0.15">
      <c r="A22" s="13" t="s">
        <v>126</v>
      </c>
      <c r="B22" s="13" t="s">
        <v>217</v>
      </c>
      <c r="C22" s="16" t="s">
        <v>36</v>
      </c>
      <c r="D22" s="8">
        <f>Sheet2!$D$2</f>
        <v>0</v>
      </c>
      <c r="E22" s="4">
        <f>Sheet2!$A$2</f>
        <v>0</v>
      </c>
      <c r="F22" s="9">
        <v>120</v>
      </c>
      <c r="G22" s="9">
        <v>84</v>
      </c>
      <c r="H22" s="4" t="b">
        <v>0</v>
      </c>
      <c r="I22" s="5">
        <v>46176</v>
      </c>
      <c r="J22" s="4" t="b">
        <v>0</v>
      </c>
      <c r="K22" s="17">
        <v>46176</v>
      </c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</row>
    <row r="23" spans="1:28" ht="15.75" customHeight="1" x14ac:dyDescent="0.15">
      <c r="A23" s="13" t="s">
        <v>127</v>
      </c>
      <c r="B23" s="13" t="s">
        <v>218</v>
      </c>
      <c r="C23" s="14" t="s">
        <v>36</v>
      </c>
      <c r="D23" s="8">
        <f>Sheet2!$E$2</f>
        <v>0</v>
      </c>
      <c r="E23" s="4">
        <f>Sheet2!$B$2</f>
        <v>0</v>
      </c>
      <c r="F23" s="15">
        <v>165</v>
      </c>
      <c r="G23" s="15">
        <v>115</v>
      </c>
      <c r="H23" s="4" t="b">
        <v>0</v>
      </c>
      <c r="I23" s="5">
        <v>46176</v>
      </c>
      <c r="J23" s="4" t="b">
        <v>0</v>
      </c>
      <c r="K23" s="17">
        <v>46176</v>
      </c>
    </row>
    <row r="24" spans="1:28" ht="15.75" customHeight="1" x14ac:dyDescent="0.15">
      <c r="A24" s="13" t="s">
        <v>202</v>
      </c>
      <c r="B24" s="13" t="s">
        <v>254</v>
      </c>
      <c r="C24" s="14" t="s">
        <v>36</v>
      </c>
      <c r="D24" s="8">
        <f>Sheet2!$F$2</f>
        <v>0</v>
      </c>
      <c r="E24" s="4">
        <f>Sheet2!$C$2</f>
        <v>0</v>
      </c>
      <c r="F24" s="15">
        <v>350</v>
      </c>
      <c r="G24" s="15">
        <v>245</v>
      </c>
      <c r="H24" s="4" t="b">
        <v>0</v>
      </c>
      <c r="I24" s="5">
        <v>46176</v>
      </c>
      <c r="J24" s="4" t="b">
        <v>0</v>
      </c>
      <c r="K24" s="17">
        <v>46176</v>
      </c>
    </row>
    <row r="25" spans="1:28" ht="15.75" customHeight="1" x14ac:dyDescent="0.15">
      <c r="A25" s="13" t="s">
        <v>128</v>
      </c>
      <c r="B25" s="13" t="s">
        <v>219</v>
      </c>
      <c r="C25" s="16" t="s">
        <v>37</v>
      </c>
      <c r="D25" s="8">
        <f>Sheet2!$D$2</f>
        <v>0</v>
      </c>
      <c r="E25" s="4">
        <f>Sheet2!$A$2</f>
        <v>0</v>
      </c>
      <c r="F25" s="9">
        <v>120</v>
      </c>
      <c r="G25" s="9">
        <v>84</v>
      </c>
      <c r="H25" s="4" t="b">
        <v>0</v>
      </c>
      <c r="I25" s="5">
        <v>46176</v>
      </c>
      <c r="J25" s="4" t="b">
        <v>0</v>
      </c>
      <c r="K25" s="17">
        <v>46176</v>
      </c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</row>
    <row r="26" spans="1:28" ht="15.75" customHeight="1" x14ac:dyDescent="0.15">
      <c r="A26" s="13" t="s">
        <v>129</v>
      </c>
      <c r="B26" s="13" t="s">
        <v>220</v>
      </c>
      <c r="C26" s="14" t="s">
        <v>37</v>
      </c>
      <c r="D26" s="8">
        <f>Sheet2!$E$2</f>
        <v>0</v>
      </c>
      <c r="E26" s="4">
        <f>Sheet2!$B$2</f>
        <v>0</v>
      </c>
      <c r="F26" s="15">
        <v>165</v>
      </c>
      <c r="G26" s="15">
        <v>115</v>
      </c>
      <c r="H26" s="4" t="b">
        <v>0</v>
      </c>
      <c r="I26" s="5">
        <v>46176</v>
      </c>
      <c r="J26" s="4" t="b">
        <v>0</v>
      </c>
      <c r="K26" s="17">
        <v>46176</v>
      </c>
    </row>
    <row r="27" spans="1:28" ht="15.75" customHeight="1" x14ac:dyDescent="0.15">
      <c r="A27" s="13" t="s">
        <v>203</v>
      </c>
      <c r="B27" s="13" t="s">
        <v>255</v>
      </c>
      <c r="C27" s="14" t="s">
        <v>37</v>
      </c>
      <c r="D27" s="8">
        <f>Sheet2!$F$2</f>
        <v>0</v>
      </c>
      <c r="E27" s="4">
        <f>Sheet2!$C$2</f>
        <v>0</v>
      </c>
      <c r="F27" s="15">
        <v>350</v>
      </c>
      <c r="G27" s="15">
        <v>245</v>
      </c>
      <c r="H27" s="4" t="b">
        <v>0</v>
      </c>
      <c r="I27" s="5">
        <v>46176</v>
      </c>
      <c r="J27" s="4" t="b">
        <v>0</v>
      </c>
      <c r="K27" s="17">
        <v>46176</v>
      </c>
    </row>
    <row r="28" spans="1:28" ht="12.75" x14ac:dyDescent="0.15">
      <c r="F28" s="19"/>
      <c r="G28" s="19"/>
    </row>
    <row r="29" spans="1:28" ht="15.75" customHeight="1" x14ac:dyDescent="0.15">
      <c r="A29" s="13" t="s">
        <v>38</v>
      </c>
      <c r="B29" s="13" t="s">
        <v>175</v>
      </c>
      <c r="C29" s="22" t="s">
        <v>106</v>
      </c>
      <c r="D29" s="8" t="str">
        <f>CONCATENATE("*Tinatamad ka ba, walang time, o nahihirapang gumawa ng TOS at ", Sheet1!M29, " mo, ",Sheet1!O29," KasaMath? Kuha ka na ng ", Sheet1!P29,"!*
**Bakit perfect para sa’yo ang ", Sheet1!P29,"?**
",Sheet2!D$17, Sheet1!Q29," days  
- ", Sheet1!R29,"-item Multiple Choice test with Answer Key  
- Para sa teachers na nagmamadali at hindi kailangan ang TOS", L29, "
---
## Step 1: I-fill out at i-submit ang Order Form.
", "{{&lt; iframe src=""", "https://cityofsmiles.github.io/auto-order-form/?id=", LOWER(A29), """ height=""850"" &gt;}}","
## Step 2: Payment and Delivery
### Payment Methods
Mag-send ka lang ng ₱",Sheet1!F29," para sa **", Sheet1!M29,_xlfn._LONGTEXT("**.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Sheet1!R29,"-item multiple choice test
  - Dimensions: A4 bond paper
  - Format: PDF, created using LaTeX
- **Answer Key**
  - Format: PDF, created using LaTeX", Sheet2!$D$6)</f>
        <v>*Tinatamad ka ba, walang time, o nahihirapang gumawa ng TOS at First Summative test mo, Grade 7 KasaMath? Kuha ka na ng Basic Assessment Package!*
**Bakit perfect para sa’yo ang Basic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15 days  
- 25-item Multiple Choice test with Answer Key  
- Para sa teachers na nagmamadali at hindi kailangan ang TOS
---
📑 **Competencies Covered**
- Draw and describe regular and irregular polygons with 5, 6, 8, or 10 sides, based on measurements of sides and angles, using a ruler and protractor.
- Draw triangles, quadrilaterals, and regular polygons (5, 6, 8, or 10 sides) with given angle measures.
- Describe and explain the relationships between angle pairs based on their measures.
- Classify polygons according to the number of sides, whether they are regular or irregular.
- Classify polygons whether they are convex or non-convex.
- Deduce the relationship between the exterior angle and adjacent interior angle of a polygon.
---
## Step 1: I-fill out at i-submit ang Order Form.
{{&lt; iframe src="https://cityofsmiles.github.io/auto-order-form/?id=g7-t1-s1-bp" height="850" &gt;}}
## Step 2: Payment and Delivery
### Payment Methods
Mag-send ka lang ng ₱59 para sa **First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---
Salamat sa pagsuporta sa **TeXMathPro, KasaMath**! Kung may tanong o suggestion ka, [kontakin mo lang ako](mailto:texmathpro@gmail.com).</v>
      </c>
      <c r="E29" s="10"/>
      <c r="F29" s="9">
        <v>59</v>
      </c>
      <c r="G29" s="9">
        <v>49</v>
      </c>
      <c r="H29" s="10" t="b">
        <v>0</v>
      </c>
      <c r="I29" s="5">
        <v>46176</v>
      </c>
      <c r="J29" s="10" t="b">
        <v>1</v>
      </c>
      <c r="K29" s="17">
        <v>46179</v>
      </c>
      <c r="L29" s="24" t="s">
        <v>167</v>
      </c>
      <c r="M29" s="10" t="str" cm="1">
        <f t="array" ref="M29">_xlfn.XLOOKUP(TRUE,ISNUMBER(SEARCH(Sheet2!A$23:A$26,A29)),Sheet2!B$23:B$26,"")</f>
        <v>First Summative test</v>
      </c>
      <c r="N29" s="10" t="str" cm="1">
        <f t="array" ref="N29">_xlfn.XLOOKUP(TRUE,ISNUMBER(SEARCH(Sheet2!A$32:A$34,A29)),Sheet2!B$32:B$34,"")</f>
        <v>First Term</v>
      </c>
      <c r="O29" s="10" t="str" cm="1">
        <f t="array" ref="O29">_xlfn.XLOOKUP(TRUE,ISNUMBER(SEARCH(Sheet2!A$38:A$41,A29)),Sheet2!B$38:B$41,"")</f>
        <v>Grade 7</v>
      </c>
      <c r="P29" s="10" t="str" cm="1">
        <f t="array" ref="P29">_xlfn.XLOOKUP(TRUE,ISNUMBER(SEARCH(Sheet2!A$45:A$47,A29)),Sheet2!B$45:B$47,"")</f>
        <v>Basic Assessment Package</v>
      </c>
      <c r="Q29" s="10">
        <v>15</v>
      </c>
      <c r="R29" s="10">
        <v>25</v>
      </c>
      <c r="S29" s="10"/>
      <c r="T29" s="10"/>
      <c r="U29" s="10"/>
      <c r="V29" s="10"/>
      <c r="W29" s="10"/>
      <c r="X29" s="10"/>
      <c r="Y29" s="10"/>
      <c r="Z29" s="10"/>
      <c r="AA29" s="10"/>
      <c r="AB29" s="10"/>
    </row>
    <row r="30" spans="1:28" ht="15.75" customHeight="1" x14ac:dyDescent="0.15">
      <c r="A30" s="13" t="s">
        <v>39</v>
      </c>
      <c r="B30" s="13" t="s">
        <v>181</v>
      </c>
      <c r="C30" s="22" t="s">
        <v>106</v>
      </c>
      <c r="D30" s="8" t="str">
        <f>CONCATENATE("*Tinatamad ka ba, walang time, o nahihirapang gumawa ng TOS at ", Sheet1!M30, " mo, ",Sheet1!O30," KasaMath? Kuha ka na ng ", Sheet1!P30,"!*
**Bakit perfect para sa’yo ang ", Sheet1!P30,"?**
",Sheet2!E$17, Sheet1!Q30," days  
- ", Sheet1!R30,"-item Multiple Choice test with Answer Key  
- Bagay sa teachers na gusto ng kumpletong exam, answer key, at TOS",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Skills*"),L30, "
---
## Step 1: I-fill out at i-submit ang Order Form.
", "{{&lt; iframe src=""", "https://cityofsmiles.github.io/auto-order-form/?id=", LOWER(A30), """ height=""850"" &gt;}}","
## Step 2: Payment and Delivery
### Payment Methods
Mag-send ka lang ng ₱",Sheet1!F30," para sa **", Sheet1!M30,_xlfn._LONGTEXT("**.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Sheet1!R30,"-item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First Summative test mo, Grade 7 KasaMath? Kuha ka na ng Standard Assessment Package!*
**Bakit perfect para sa’yo ang Standard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15 days  
- 25-item Multiple Choice test with Answer Key  
- Bagay sa teachers na gusto ng kumpletong exam, answer key, at TOS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Draw and describe regular and irregular polygons with 5, 6, 8, or 10 sides, based on measurements of sides and angles, using a ruler and protractor.
- Draw triangles, quadrilaterals, and regular polygons (5, 6, 8, or 10 sides) with given angle measures.
- Describe and explain the relationships between angle pairs based on their measures.
- Classify polygons according to the number of sides, whether they are regular or irregular.
- Classify polygons whether they are convex or non-convex.
- Deduce the relationship between the exterior angle and adjacent interior angle of a polygon.
---
## Step 1: I-fill out at i-submit ang Order Form.
{{&lt; iframe src="https://cityofsmiles.github.io/auto-order-form/?id=g7-t1-s1-sp" height="850" &gt;}}
## Step 2: Payment and Delivery
### Payment Methods
Mag-send ka lang ng ₱79 para sa **First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30" s="10"/>
      <c r="F30" s="9">
        <v>79</v>
      </c>
      <c r="G30" s="9">
        <v>69</v>
      </c>
      <c r="H30" s="10" t="b">
        <v>0</v>
      </c>
      <c r="I30" s="5">
        <v>46176</v>
      </c>
      <c r="J30" s="10" t="b">
        <v>1</v>
      </c>
      <c r="K30" s="17">
        <v>46179</v>
      </c>
      <c r="L30" s="24" t="s">
        <v>167</v>
      </c>
      <c r="M30" s="10" t="str" cm="1">
        <f t="array" ref="M30">_xlfn.XLOOKUP(TRUE,ISNUMBER(SEARCH(Sheet2!A$23:A$26,A30)),Sheet2!B$23:B$26,"")</f>
        <v>First Summative test</v>
      </c>
      <c r="N30" s="10" t="str" cm="1">
        <f t="array" ref="N30">_xlfn.XLOOKUP(TRUE,ISNUMBER(SEARCH(Sheet2!A$32:A$34,A30)),Sheet2!B$32:B$34,"")</f>
        <v>First Term</v>
      </c>
      <c r="O30" s="10" t="str" cm="1">
        <f t="array" ref="O30">_xlfn.XLOOKUP(TRUE,ISNUMBER(SEARCH(Sheet2!A$38:A$41,A30)),Sheet2!B$38:B$41,"")</f>
        <v>Grade 7</v>
      </c>
      <c r="P30" s="10" t="str" cm="1">
        <f t="array" ref="P30">_xlfn.XLOOKUP(TRUE,ISNUMBER(SEARCH(Sheet2!A$45:A$47,A30)),Sheet2!B$45:B$47,"")</f>
        <v>Standard Assessment Package</v>
      </c>
      <c r="Q30" s="10">
        <v>15</v>
      </c>
      <c r="R30" s="10">
        <v>25</v>
      </c>
      <c r="S30" s="10"/>
      <c r="T30" s="10"/>
      <c r="U30" s="10"/>
      <c r="V30" s="10"/>
      <c r="W30" s="10"/>
      <c r="X30" s="10"/>
      <c r="Y30" s="10"/>
      <c r="Z30" s="10"/>
      <c r="AA30" s="10"/>
      <c r="AB30" s="10"/>
    </row>
    <row r="31" spans="1:28" ht="15.75" customHeight="1" x14ac:dyDescent="0.15">
      <c r="A31" s="13" t="s">
        <v>185</v>
      </c>
      <c r="B31" s="13" t="s">
        <v>204</v>
      </c>
      <c r="C31" s="22" t="s">
        <v>106</v>
      </c>
      <c r="D31" s="8" t="str">
        <f>CONCATENATE("*Tinatamad ka ba, walang time, o nahihirapang gumawa ng TOS at ", Sheet1!M31, " mo, ",Sheet1!O31," KasaMath? Kuha ka na ng ", Sheet1!P31,"!*
**Bakit perfect para sa’yo ang ", Sheet1!P31,"?**
",Sheet2!F$17," 
- Perfect sa teachers na gusto ng pasadyang exam",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Skills*"),L31, "
---
## Step 1: I-fill out at i-submit ang Order Form.
", "{{&lt; iframe src=""", "https://cityofsmiles.github.io/auto-order-form/?id=", LOWER(A31), """ height=""850"" &gt;}}","
## Step 2: Payment and Delivery
### Payment Methods
Mag-send ka lang ng ₱",Sheet1!F31," para sa **", Sheet1!M31,_xlfn._LONGTEXT("**.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Sheet1!R31,"-item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First Summative test mo, Grade 7 KasaMath? Kuha ka na ng Custom Assessment Package!*
**Bakit perfect para sa’yo ang Custom Assessment Package?**
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 
- Perfect sa teachers na gusto ng pasadyang exam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Draw and describe regular and irregular polygons with 5, 6, 8, or 10 sides, based on measurements of sides and angles, using a ruler and protractor.
- Draw triangles, quadrilaterals, and regular polygons (5, 6, 8, or 10 sides) with given angle measures.
- Describe and explain the relationships between angle pairs based on their measures.
- Classify polygons according to the number of sides, whether they are regular or irregular.
- Classify polygons whether they are convex or non-convex.
- Deduce the relationship between the exterior angle and adjacent interior angle of a polygon.
---
## Step 1: I-fill out at i-submit ang Order Form.
{{&lt; iframe src="https://cityofsmiles.github.io/auto-order-form/?id=g7-t1-s1-cp" height="850" &gt;}}
## Step 2: Payment and Delivery
### Payment Methods
Mag-send ka lang ng ₱179 para sa **First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31" s="10"/>
      <c r="F31" s="9">
        <v>179</v>
      </c>
      <c r="G31" s="9">
        <v>169</v>
      </c>
      <c r="H31" s="10" t="b">
        <v>0</v>
      </c>
      <c r="I31" s="5">
        <v>46176</v>
      </c>
      <c r="J31" s="10" t="b">
        <v>1</v>
      </c>
      <c r="K31" s="17">
        <v>46179</v>
      </c>
      <c r="L31" s="24" t="s">
        <v>167</v>
      </c>
      <c r="M31" s="10" t="str" cm="1">
        <f t="array" ref="M31">_xlfn.XLOOKUP(TRUE,ISNUMBER(SEARCH(Sheet2!A$23:A$26,A31)),Sheet2!B$23:B$26,"")</f>
        <v>First Summative test</v>
      </c>
      <c r="N31" s="10" t="str" cm="1">
        <f t="array" ref="N31">_xlfn.XLOOKUP(TRUE,ISNUMBER(SEARCH(Sheet2!A$32:A$34,A31)),Sheet2!B$32:B$34,"")</f>
        <v>First Term</v>
      </c>
      <c r="O31" s="10" t="str" cm="1">
        <f t="array" ref="O31">_xlfn.XLOOKUP(TRUE,ISNUMBER(SEARCH(Sheet2!A$38:A$41,A31)),Sheet2!B$38:B$41,"")</f>
        <v>Grade 7</v>
      </c>
      <c r="P31" s="10" t="str" cm="1">
        <f t="array" ref="P31">_xlfn.XLOOKUP(TRUE,ISNUMBER(SEARCH(Sheet2!A$45:A$47,A31)),Sheet2!B$45:B$47,"")</f>
        <v>Custom Assessment Package</v>
      </c>
      <c r="Q31" s="10"/>
      <c r="R31" s="10" t="s">
        <v>207</v>
      </c>
      <c r="S31" s="10"/>
      <c r="T31" s="10"/>
      <c r="U31" s="10"/>
      <c r="V31" s="10"/>
      <c r="W31" s="10"/>
      <c r="X31" s="10"/>
      <c r="Y31" s="10"/>
      <c r="Z31" s="10"/>
      <c r="AA31" s="10"/>
      <c r="AB31" s="10"/>
    </row>
    <row r="32" spans="1:28" ht="18" customHeight="1" x14ac:dyDescent="0.15">
      <c r="A32" s="13" t="s">
        <v>111</v>
      </c>
      <c r="B32" s="13" t="s">
        <v>176</v>
      </c>
      <c r="C32" s="26" t="s">
        <v>112</v>
      </c>
      <c r="D32" s="8" t="str">
        <f>CONCATENATE("*Tinatamad ka ba, walang time, o nahihirapang gumawa ng TOS at ", Sheet1!M32, " mo, ",Sheet1!O32," KasaMath? Kuha ka na ng ", Sheet1!P32,"!*
**Bakit perfect para sa’yo ang ", Sheet1!P32,"?**
",Sheet2!D$17, Sheet1!Q32," days  
- ", Sheet1!R32,"-item Multiple Choice test with Answer Key  
- Para sa teachers na nagmamadali at hindi kailangan ang TOS", L32, "
---
## Step 1: I-fill out at i-submit ang Order Form.
", "{{&lt; iframe src=""", "https://cityofsmiles.github.io/auto-order-form/?id=", LOWER(A32), """ height=""850"" &gt;}}","
## Step 2: Payment and Delivery
### Payment Methods
Mag-send ka lang ng ₱",Sheet1!F32," para sa **", Sheet1!M32,_xlfn._LONGTEXT("**.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Sheet1!R32,"-item multiple choice test
  - Dimensions: A4 bond paper
  - Format: PDF, created using LaTeX
- **Answer Key**
  - Format: PDF, created using LaTeX", Sheet2!$D$6)</f>
        <v>*Tinatamad ka ba, walang time, o nahihirapang gumawa ng TOS at Second Summative test mo, Grade 7 KasaMath? Kuha ka na ng Basic Assessment Package!*
**Bakit perfect para sa’yo ang Basic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15 days  
- 25-item Multiple Choice test with Answer Key  
- Para sa teachers na nagmamadali at hindi kailangan ang TOS
---
📑 **Competencies Covered**
- Determine the measures of angles of polygons.
- Determine the number of sides of polygons.
- Solve problems involving percentage increase and percentage decrease.
- Solve money problems involving percentages (e. g., discount, commission, sales tax, simple interest).
- Create a financial plan.
---
## Step 1: I-fill out at i-submit ang Order Form.
{{&lt; iframe src="https://cityofsmiles.github.io/auto-order-form/?id=g7-t1-s2-bp" height="850" &gt;}}
## Step 2: Payment and Delivery
### Payment Methods
Mag-send ka lang ng ₱59 para sa **Second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---
Salamat sa pagsuporta sa **TeXMathPro, KasaMath**! Kung may tanong o suggestion ka, [kontakin mo lang ako](mailto:texmathpro@gmail.com).</v>
      </c>
      <c r="E32" s="10"/>
      <c r="F32" s="9">
        <v>59</v>
      </c>
      <c r="G32" s="9">
        <v>49</v>
      </c>
      <c r="H32" s="10" t="b">
        <v>0</v>
      </c>
      <c r="I32" s="5">
        <v>46176</v>
      </c>
      <c r="J32" s="10" t="b">
        <v>1</v>
      </c>
      <c r="K32" s="17">
        <v>46179</v>
      </c>
      <c r="L32" s="24" t="s">
        <v>168</v>
      </c>
      <c r="M32" s="10" t="str" cm="1">
        <f t="array" ref="M32">_xlfn.XLOOKUP(TRUE,ISNUMBER(SEARCH(Sheet2!A$23:A$26,A32)),Sheet2!B$23:B$26,"")</f>
        <v>Second Summative test</v>
      </c>
      <c r="N32" s="10" t="str" cm="1">
        <f t="array" ref="N32">_xlfn.XLOOKUP(TRUE,ISNUMBER(SEARCH(Sheet2!A$32:A$34,A32)),Sheet2!B$32:B$34,"")</f>
        <v>First Term</v>
      </c>
      <c r="O32" s="10" t="str" cm="1">
        <f t="array" ref="O32">_xlfn.XLOOKUP(TRUE,ISNUMBER(SEARCH(Sheet2!A$38:A$41,A32)),Sheet2!B$38:B$41,"")</f>
        <v>Grade 7</v>
      </c>
      <c r="P32" s="10" t="str" cm="1">
        <f t="array" ref="P32">_xlfn.XLOOKUP(TRUE,ISNUMBER(SEARCH(Sheet2!A$45:A$47,A32)),Sheet2!B$45:B$47,"")</f>
        <v>Basic Assessment Package</v>
      </c>
      <c r="Q32" s="10">
        <v>15</v>
      </c>
      <c r="R32" s="10">
        <v>25</v>
      </c>
      <c r="S32" s="10"/>
      <c r="T32" s="10"/>
      <c r="U32" s="10"/>
      <c r="V32" s="10"/>
      <c r="W32" s="10"/>
      <c r="X32" s="10"/>
      <c r="Y32" s="10"/>
      <c r="Z32" s="10"/>
      <c r="AA32" s="10"/>
      <c r="AB32" s="10"/>
    </row>
    <row r="33" spans="1:28" ht="18" customHeight="1" x14ac:dyDescent="0.15">
      <c r="A33" s="13" t="s">
        <v>179</v>
      </c>
      <c r="B33" s="13" t="s">
        <v>180</v>
      </c>
      <c r="C33" s="26" t="s">
        <v>112</v>
      </c>
      <c r="D33" s="8" t="str">
        <f>CONCATENATE("*Tinatamad ka ba, walang time, o nahihirapang gumawa ng TOS at ", Sheet1!M33, " mo, ",Sheet1!O33," KasaMath? Kuha ka na ng ", Sheet1!P33,"!*
**Bakit perfect para sa’yo ang ", Sheet1!P33,"?**
",Sheet2!E$17, Sheet1!Q33," days  
- ", Sheet1!R33,"-item Multiple Choice test with Answer Key  
- Bagay sa teachers na gusto ng kumpletong exam, answer key, at TOS",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Skills*"),L33, "
---
## Step 1: I-fill out at i-submit ang Order Form.
", "{{&lt; iframe src=""", "https://cityofsmiles.github.io/auto-order-form/?id=", LOWER(A33), """ height=""850"" &gt;}}","
## Step 2: Payment and Delivery
### Payment Methods
Mag-send ka lang ng ₱",Sheet1!F33," para sa **", Sheet1!M33,_xlfn._LONGTEXT("**.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Sheet1!R33,"-item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Second Summative test mo, Grade 7 KasaMath? Kuha ka na ng Standard Assessment Package!*
**Bakit perfect para sa’yo ang Standard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15 days  
- 25-item Multiple Choice test with Answer Key  
- Bagay sa teachers na gusto ng kumpletong exam, answer key, at TOS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Determine the measures of angles of polygons.
- Determine the number of sides of polygons.
- Solve problems involving percentage increase and percentage decrease.
- Solve money problems involving percentages (e. g., discount, commission, sales tax, simple interest).
- Create a financial plan.
---
## Step 1: I-fill out at i-submit ang Order Form.
{{&lt; iframe src="https://cityofsmiles.github.io/auto-order-form/?id=g7-t1-s2-sp" height="850" &gt;}}
## Step 2: Payment and Delivery
### Payment Methods
Mag-send ka lang ng ₱79 para sa **Second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33" s="10"/>
      <c r="F33" s="9">
        <v>79</v>
      </c>
      <c r="G33" s="9">
        <v>69</v>
      </c>
      <c r="H33" s="10" t="b">
        <v>0</v>
      </c>
      <c r="I33" s="5">
        <v>46176</v>
      </c>
      <c r="J33" s="10" t="b">
        <v>1</v>
      </c>
      <c r="K33" s="17">
        <v>46179</v>
      </c>
      <c r="L33" s="24" t="s">
        <v>168</v>
      </c>
      <c r="M33" s="10" t="str" cm="1">
        <f t="array" ref="M33">_xlfn.XLOOKUP(TRUE,ISNUMBER(SEARCH(Sheet2!A$23:A$26,A33)),Sheet2!B$23:B$26,"")</f>
        <v>Second Summative test</v>
      </c>
      <c r="N33" s="10" t="str" cm="1">
        <f t="array" ref="N33">_xlfn.XLOOKUP(TRUE,ISNUMBER(SEARCH(Sheet2!A$32:A$34,A33)),Sheet2!B$32:B$34,"")</f>
        <v>First Term</v>
      </c>
      <c r="O33" s="10" t="str" cm="1">
        <f t="array" ref="O33">_xlfn.XLOOKUP(TRUE,ISNUMBER(SEARCH(Sheet2!A$38:A$41,A33)),Sheet2!B$38:B$41,"")</f>
        <v>Grade 7</v>
      </c>
      <c r="P33" s="10" t="str" cm="1">
        <f t="array" ref="P33">_xlfn.XLOOKUP(TRUE,ISNUMBER(SEARCH(Sheet2!A$45:A$47,A33)),Sheet2!B$45:B$47,"")</f>
        <v>Standard Assessment Package</v>
      </c>
      <c r="Q33" s="10">
        <v>15</v>
      </c>
      <c r="R33" s="10">
        <v>25</v>
      </c>
      <c r="S33" s="10"/>
      <c r="T33" s="10"/>
      <c r="U33" s="10"/>
      <c r="V33" s="10"/>
      <c r="W33" s="10"/>
      <c r="X33" s="10"/>
      <c r="Y33" s="10"/>
      <c r="Z33" s="10"/>
      <c r="AA33" s="10"/>
      <c r="AB33" s="10"/>
    </row>
    <row r="34" spans="1:28" ht="18" customHeight="1" x14ac:dyDescent="0.15">
      <c r="A34" s="11" t="s">
        <v>208</v>
      </c>
      <c r="B34" s="11" t="s">
        <v>209</v>
      </c>
      <c r="C34" s="26" t="s">
        <v>112</v>
      </c>
      <c r="D34" s="8" t="str">
        <f>CONCATENATE("*Tinatamad ka ba, walang time, o nahihirapang gumawa ng TOS at ", Sheet1!M34, " mo, ",Sheet1!O34," KasaMath? Kuha ka na ng ", Sheet1!P34,"!*
**Bakit perfect para sa’yo ang ", Sheet1!P34,"?**
",Sheet2!F$17," 
- Perfect sa teachers na gusto ng pasadyang exam",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Skills*"),L34, "
---
## Step 1: I-fill out at i-submit ang Order Form.
", "{{&lt; iframe src=""", "https://cityofsmiles.github.io/auto-order-form/?id=", LOWER(A34), """ height=""850"" &gt;}}","
## Step 2: Payment and Delivery
### Payment Methods
Mag-send ka lang ng ₱",Sheet1!F34," para sa **", Sheet1!M34,_xlfn._LONGTEXT("**.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Sheet1!R34,"-item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Second Summative test mo, Grade 7 KasaMath? Kuha ka na ng Custom Assessment Package!*
**Bakit perfect para sa’yo ang Custom Assessment Package?**
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 
- Perfect sa teachers na gusto ng pasadyang exam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Determine the measures of angles of polygons.
- Determine the number of sides of polygons.
- Solve problems involving percentage increase and percentage decrease.
- Solve money problems involving percentages (e. g., discount, commission, sales tax, simple interest).
- Create a financial plan.
---
## Step 1: I-fill out at i-submit ang Order Form.
{{&lt; iframe src="https://cityofsmiles.github.io/auto-order-form/?id=g7-t1-s2-cp" height="850" &gt;}}
## Step 2: Payment and Delivery
### Payment Methods
Mag-send ka lang ng ₱179 para sa **Second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34" s="4"/>
      <c r="F34" s="9">
        <v>179</v>
      </c>
      <c r="G34" s="9">
        <v>169</v>
      </c>
      <c r="H34" s="4" t="b">
        <v>0</v>
      </c>
      <c r="I34" s="5">
        <v>46176</v>
      </c>
      <c r="J34" s="10" t="b">
        <v>1</v>
      </c>
      <c r="K34" s="17">
        <v>46179</v>
      </c>
      <c r="L34" s="24" t="s">
        <v>168</v>
      </c>
      <c r="M34" s="10" t="str" cm="1">
        <f t="array" ref="M34">_xlfn.XLOOKUP(TRUE,ISNUMBER(SEARCH(Sheet2!A$23:A$26,A34)),Sheet2!B$23:B$26,"")</f>
        <v>Second Summative test</v>
      </c>
      <c r="N34" s="10" t="str" cm="1">
        <f t="array" ref="N34">_xlfn.XLOOKUP(TRUE,ISNUMBER(SEARCH(Sheet2!A$32:A$34,A34)),Sheet2!B$32:B$34,"")</f>
        <v>First Term</v>
      </c>
      <c r="O34" s="10" t="str" cm="1">
        <f t="array" ref="O34">_xlfn.XLOOKUP(TRUE,ISNUMBER(SEARCH(Sheet2!A$38:A$41,A34)),Sheet2!B$38:B$41,"")</f>
        <v>Grade 7</v>
      </c>
      <c r="P34" s="10" t="str" cm="1">
        <f t="array" ref="P34">_xlfn.XLOOKUP(TRUE,ISNUMBER(SEARCH(Sheet2!A$45:A$47,A34)),Sheet2!B$45:B$47,"")</f>
        <v>Custom Assessment Package</v>
      </c>
      <c r="Q34" s="10"/>
      <c r="R34" s="10" t="s">
        <v>207</v>
      </c>
      <c r="S34" s="10"/>
      <c r="T34" s="10"/>
      <c r="U34" s="10"/>
      <c r="V34" s="10"/>
      <c r="W34" s="10"/>
      <c r="X34" s="10"/>
      <c r="Y34" s="10"/>
      <c r="Z34" s="10"/>
      <c r="AA34" s="10"/>
      <c r="AB34" s="10"/>
    </row>
    <row r="35" spans="1:28" ht="15.75" customHeight="1" x14ac:dyDescent="0.15">
      <c r="A35" s="13" t="s">
        <v>40</v>
      </c>
      <c r="B35" s="13" t="s">
        <v>41</v>
      </c>
      <c r="C35" s="16" t="s">
        <v>42</v>
      </c>
      <c r="D35" s="8">
        <f>Sheet2!$D$2</f>
        <v>0</v>
      </c>
      <c r="E35" s="4"/>
      <c r="F35" s="9">
        <v>120</v>
      </c>
      <c r="G35" s="9">
        <v>84</v>
      </c>
      <c r="H35" s="4" t="b">
        <v>0</v>
      </c>
      <c r="I35" s="5">
        <v>46176</v>
      </c>
      <c r="J35" s="4" t="b">
        <v>0</v>
      </c>
      <c r="K35" s="17">
        <v>46176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</row>
    <row r="36" spans="1:28" ht="15.75" customHeight="1" x14ac:dyDescent="0.15">
      <c r="A36" s="13" t="s">
        <v>43</v>
      </c>
      <c r="B36" s="13" t="s">
        <v>44</v>
      </c>
      <c r="C36" s="14" t="s">
        <v>42</v>
      </c>
      <c r="D36" s="8">
        <f>Sheet2!$E$2</f>
        <v>0</v>
      </c>
      <c r="E36" s="4"/>
      <c r="F36" s="15">
        <v>165</v>
      </c>
      <c r="G36" s="15">
        <v>115</v>
      </c>
      <c r="H36" s="4" t="b">
        <v>0</v>
      </c>
      <c r="I36" s="5">
        <v>46176</v>
      </c>
      <c r="J36" s="4" t="b">
        <v>0</v>
      </c>
      <c r="K36" s="17">
        <v>46176</v>
      </c>
    </row>
    <row r="37" spans="1:28" ht="15.75" customHeight="1" x14ac:dyDescent="0.15">
      <c r="A37" s="13" t="s">
        <v>186</v>
      </c>
      <c r="B37" s="13" t="s">
        <v>256</v>
      </c>
      <c r="C37" s="14" t="s">
        <v>42</v>
      </c>
      <c r="D37" s="8">
        <f>Sheet2!$F$2</f>
        <v>0</v>
      </c>
      <c r="E37" s="4"/>
      <c r="F37" s="15">
        <v>350</v>
      </c>
      <c r="G37" s="15">
        <v>245</v>
      </c>
      <c r="H37" s="4" t="b">
        <v>0</v>
      </c>
      <c r="I37" s="5">
        <v>46176</v>
      </c>
      <c r="J37" s="4" t="b">
        <v>0</v>
      </c>
      <c r="K37" s="17">
        <v>46176</v>
      </c>
    </row>
    <row r="38" spans="1:28" ht="15.75" customHeight="1" x14ac:dyDescent="0.15">
      <c r="A38" s="13" t="s">
        <v>45</v>
      </c>
      <c r="B38" s="13" t="s">
        <v>177</v>
      </c>
      <c r="C38" s="23" t="s">
        <v>107</v>
      </c>
      <c r="D38" s="8" t="str">
        <f>CONCATENATE("*Tinatamad ka ba, walang time, o nahihirapang gumawa ng TOS at ", Sheet1!M38, " mo, ",Sheet1!O38," KasaMath? Kuha ka na ng ", Sheet1!P38,"!*
**Bakit perfect para sa’yo ang ", Sheet1!P38,"?**
",Sheet2!D$17, Sheet1!Q38," days  
- ", Sheet1!R38,"-item Multiple Choice test with Answer Key  
- Para sa teachers na nagmamadali at hindi kailangan ang TOS", L38, "
---
## Step 1: I-fill out at i-submit ang Order Form.
", "{{&lt; iframe src=""", "https://cityofsmiles.github.io/auto-order-form/?id=", LOWER(A38), """ height=""850"" &gt;}}","
## Step 2: Payment and Delivery
### Payment Methods
Mag-send ka lang ng ₱",Sheet1!F38," para sa **", Sheet1!M38,_xlfn._LONGTEXT("**.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Sheet1!R38,"-item multiple choice test
  - Dimensions: A4 bond paper
  - Format: PDF, created using LaTeX
- **Answer Key**
  - Format: PDF, created using LaTeX", Sheet2!$D$6)</f>
        <v>*Tinatamad ka ba, walang time, o nahihirapang gumawa ng TOS at First Summative test mo, Grade 9 KasaMath? Kuha ka na ng Basic Assessment Package!*
**Bakit perfect para sa’yo ang Basic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15 days  
- 25-item Multiple Choice test with Answer Key  
- Para sa teachers na nagmamadali at hindi kailangan ang TOS
---
📑 **Competencies Covered**
- Illustrate and describe point, line, ray, line segment, angle, and plane using models and geometric notations.
- Construct perpendicular and parallel lines.
- Identify the relationships between angles formed by parallel lines cut by a transversal.
- Determine angle measures involving angle pairs, parallel and perpendicular lines, and parallel lines cut by a transversal.
- Identify relations that are functions based on the definitions of relations and functions.
- Determine the domain and range of a function expressed in different representations.
---
## Step 1: I-fill out at i-submit ang Order Form.
{{&lt; iframe src="https://cityofsmiles.github.io/auto-order-form/?id=g9-t1-s1-bp" height="850" &gt;}}
## Step 2: Payment and Delivery
### Payment Methods
Mag-send ka lang ng ₱59 para sa **First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---
Salamat sa pagsuporta sa **TeXMathPro, KasaMath**! Kung may tanong o suggestion ka, [kontakin mo lang ako](mailto:texmathpro@gmail.com).</v>
      </c>
      <c r="E38" s="10"/>
      <c r="F38" s="9">
        <v>59</v>
      </c>
      <c r="G38" s="9">
        <v>49</v>
      </c>
      <c r="H38" s="10" t="b">
        <v>0</v>
      </c>
      <c r="I38" s="5">
        <v>46176</v>
      </c>
      <c r="J38" s="10" t="b">
        <v>1</v>
      </c>
      <c r="K38" s="17">
        <v>46179</v>
      </c>
      <c r="L38" s="24" t="s">
        <v>169</v>
      </c>
      <c r="M38" s="10" t="str" cm="1">
        <f t="array" ref="M38">_xlfn.XLOOKUP(TRUE,ISNUMBER(SEARCH(Sheet2!A$23:A$26,A38)),Sheet2!B$23:B$26,"")</f>
        <v>First Summative test</v>
      </c>
      <c r="N38" s="10" t="str" cm="1">
        <f t="array" ref="N38">_xlfn.XLOOKUP(TRUE,ISNUMBER(SEARCH(Sheet2!A$32:A$34,A38)),Sheet2!B$32:B$34,"")</f>
        <v>First Term</v>
      </c>
      <c r="O38" s="10" t="str" cm="1">
        <f t="array" ref="O38">_xlfn.XLOOKUP(TRUE,ISNUMBER(SEARCH(Sheet2!A$38:A$41,A38)),Sheet2!B$38:B$41,"")</f>
        <v>Grade 9</v>
      </c>
      <c r="P38" s="10" t="str" cm="1">
        <f t="array" ref="P38">_xlfn.XLOOKUP(TRUE,ISNUMBER(SEARCH(Sheet2!A$45:A$47,A38)),Sheet2!B$45:B$47,"")</f>
        <v>Basic Assessment Package</v>
      </c>
      <c r="Q38" s="10">
        <v>15</v>
      </c>
      <c r="R38" s="10">
        <v>25</v>
      </c>
      <c r="S38" s="10"/>
      <c r="T38" s="10"/>
      <c r="U38" s="10"/>
      <c r="V38" s="10"/>
      <c r="W38" s="10"/>
      <c r="X38" s="10"/>
      <c r="Y38" s="10"/>
      <c r="Z38" s="10"/>
      <c r="AA38" s="10"/>
      <c r="AB38" s="10"/>
    </row>
    <row r="39" spans="1:28" ht="15.75" customHeight="1" x14ac:dyDescent="0.15">
      <c r="A39" s="13" t="s">
        <v>46</v>
      </c>
      <c r="B39" s="13" t="s">
        <v>182</v>
      </c>
      <c r="C39" s="23" t="s">
        <v>107</v>
      </c>
      <c r="D39" s="8" t="str">
        <f>CONCATENATE("*Tinatamad ka ba, walang time, o nahihirapang gumawa ng TOS at ", Sheet1!M39, " mo, ",Sheet1!O39," KasaMath? Kuha ka na ng ", Sheet1!P39,"!*
**Bakit perfect para sa’yo ang ", Sheet1!P39,"?**
",Sheet2!E$17, Sheet1!Q39," days  
- ", Sheet1!R39,"-item Multiple Choice test with Answer Key  
- Bagay sa teachers na gusto ng kumpletong exam, answer key, at TOS",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Skills*"),L39, "
---
## Step 1: I-fill out at i-submit ang Order Form.
", "{{&lt; iframe src=""", "https://cityofsmiles.github.io/auto-order-form/?id=", LOWER(A39), """ height=""850"" &gt;}}","
## Step 2: Payment and Delivery
### Payment Methods
Mag-send ka lang ng ₱",Sheet1!F39," para sa **", Sheet1!M39,_xlfn._LONGTEXT("**.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Sheet1!R39,"-item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First Summative test mo, Grade 9 KasaMath? Kuha ka na ng Standard Assessment Package!*
**Bakit perfect para sa’yo ang Standard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15 days  
- 25-item Multiple Choice test with Answer Key  
- Bagay sa teachers na gusto ng kumpletong exam, answer key, at TOS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Illustrate and describe point, line, ray, line segment, angle, and plane using models and geometric notations.
- Construct perpendicular and parallel lines.
- Identify the relationships between angles formed by parallel lines cut by a transversal.
- Determine angle measures involving angle pairs, parallel and perpendicular lines, and parallel lines cut by a transversal.
- Identify relations that are functions based on the definitions of relations and functions.
- Determine the domain and range of a function expressed in different representations.
---
## Step 1: I-fill out at i-submit ang Order Form.
{{&lt; iframe src="https://cityofsmiles.github.io/auto-order-form/?id=g9-t1-s1-sp" height="850" &gt;}}
## Step 2: Payment and Delivery
### Payment Methods
Mag-send ka lang ng ₱79 para sa **First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39" s="10"/>
      <c r="F39" s="9">
        <v>79</v>
      </c>
      <c r="G39" s="9">
        <v>69</v>
      </c>
      <c r="H39" s="10" t="b">
        <v>0</v>
      </c>
      <c r="I39" s="5">
        <v>46176</v>
      </c>
      <c r="J39" s="10" t="b">
        <v>1</v>
      </c>
      <c r="K39" s="17">
        <v>46179</v>
      </c>
      <c r="L39" s="24" t="s">
        <v>169</v>
      </c>
      <c r="M39" s="10" t="str" cm="1">
        <f t="array" ref="M39">_xlfn.XLOOKUP(TRUE,ISNUMBER(SEARCH(Sheet2!A$23:A$26,A39)),Sheet2!B$23:B$26,"")</f>
        <v>First Summative test</v>
      </c>
      <c r="N39" s="10" t="str" cm="1">
        <f t="array" ref="N39">_xlfn.XLOOKUP(TRUE,ISNUMBER(SEARCH(Sheet2!A$32:A$34,A39)),Sheet2!B$32:B$34,"")</f>
        <v>First Term</v>
      </c>
      <c r="O39" s="10" t="str" cm="1">
        <f t="array" ref="O39">_xlfn.XLOOKUP(TRUE,ISNUMBER(SEARCH(Sheet2!A$38:A$41,A39)),Sheet2!B$38:B$41,"")</f>
        <v>Grade 9</v>
      </c>
      <c r="P39" s="10" t="str" cm="1">
        <f t="array" ref="P39">_xlfn.XLOOKUP(TRUE,ISNUMBER(SEARCH(Sheet2!A$45:A$47,A39)),Sheet2!B$45:B$47,"")</f>
        <v>Standard Assessment Package</v>
      </c>
      <c r="Q39" s="10">
        <v>15</v>
      </c>
      <c r="R39" s="10">
        <v>25</v>
      </c>
      <c r="S39" s="10"/>
      <c r="T39" s="10"/>
      <c r="U39" s="10"/>
      <c r="V39" s="10"/>
      <c r="W39" s="10"/>
      <c r="X39" s="10"/>
      <c r="Y39" s="10"/>
      <c r="Z39" s="10"/>
      <c r="AA39" s="10"/>
      <c r="AB39" s="10"/>
    </row>
    <row r="40" spans="1:28" ht="15.75" customHeight="1" x14ac:dyDescent="0.15">
      <c r="A40" s="13" t="s">
        <v>187</v>
      </c>
      <c r="B40" s="13" t="s">
        <v>210</v>
      </c>
      <c r="C40" s="23" t="s">
        <v>107</v>
      </c>
      <c r="D40" s="8" t="str">
        <f>CONCATENATE("*Tinatamad ka ba, walang time, o nahihirapang gumawa ng TOS at ", Sheet1!M40, " mo, ",Sheet1!O40," KasaMath? Kuha ka na ng ", Sheet1!P40,"!*
**Bakit perfect para sa’yo ang ", Sheet1!P40,"?**
",Sheet2!F$17," 
- Perfect sa teachers na gusto ng pasadyang exam",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Skills*"),L40, "
---
## Step 1: I-fill out at i-submit ang Order Form.
", "{{&lt; iframe src=""", "https://cityofsmiles.github.io/auto-order-form/?id=", LOWER(A40), """ height=""850"" &gt;}}","
## Step 2: Payment and Delivery
### Payment Methods
Mag-send ka lang ng ₱",Sheet1!F40," para sa **", Sheet1!M40,_xlfn._LONGTEXT("**.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Sheet1!R40,"-item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First Summative test mo, Grade 9 KasaMath? Kuha ka na ng Custom Assessment Package!*
**Bakit perfect para sa’yo ang Custom Assessment Package?**
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 
- Perfect sa teachers na gusto ng pasadyang exam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Illustrate and describe point, line, ray, line segment, angle, and plane using models and geometric notations.
- Construct perpendicular and parallel lines.
- Identify the relationships between angles formed by parallel lines cut by a transversal.
- Determine angle measures involving angle pairs, parallel and perpendicular lines, and parallel lines cut by a transversal.
- Identify relations that are functions based on the definitions of relations and functions.
- Determine the domain and range of a function expressed in different representations.
---
## Step 1: I-fill out at i-submit ang Order Form.
{{&lt; iframe src="https://cityofsmiles.github.io/auto-order-form/?id=g9-t1-s1-cp" height="850" &gt;}}
## Step 2: Payment and Delivery
### Payment Methods
Mag-send ka lang ng ₱179 para sa **First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40" s="10"/>
      <c r="F40" s="9">
        <v>179</v>
      </c>
      <c r="G40" s="9">
        <v>169</v>
      </c>
      <c r="H40" s="10" t="b">
        <v>0</v>
      </c>
      <c r="I40" s="5">
        <v>46176</v>
      </c>
      <c r="J40" s="10" t="b">
        <v>1</v>
      </c>
      <c r="K40" s="17">
        <v>46179</v>
      </c>
      <c r="L40" s="24" t="s">
        <v>169</v>
      </c>
      <c r="M40" s="10" t="str" cm="1">
        <f t="array" ref="M40">_xlfn.XLOOKUP(TRUE,ISNUMBER(SEARCH(Sheet2!A$23:A$26,A40)),Sheet2!B$23:B$26,"")</f>
        <v>First Summative test</v>
      </c>
      <c r="N40" s="10" t="str" cm="1">
        <f t="array" ref="N40">_xlfn.XLOOKUP(TRUE,ISNUMBER(SEARCH(Sheet2!A$32:A$34,A40)),Sheet2!B$32:B$34,"")</f>
        <v>First Term</v>
      </c>
      <c r="O40" s="10" t="str" cm="1">
        <f t="array" ref="O40">_xlfn.XLOOKUP(TRUE,ISNUMBER(SEARCH(Sheet2!A$38:A$41,A40)),Sheet2!B$38:B$41,"")</f>
        <v>Grade 9</v>
      </c>
      <c r="P40" s="10" t="str" cm="1">
        <f t="array" ref="P40">_xlfn.XLOOKUP(TRUE,ISNUMBER(SEARCH(Sheet2!A$45:A$47,A40)),Sheet2!B$45:B$47,"")</f>
        <v>Custom Assessment Package</v>
      </c>
      <c r="Q40" s="10"/>
      <c r="R40" s="10" t="s">
        <v>207</v>
      </c>
      <c r="S40" s="10"/>
      <c r="T40" s="10"/>
      <c r="U40" s="10"/>
      <c r="V40" s="10"/>
      <c r="W40" s="10"/>
      <c r="X40" s="10"/>
      <c r="Y40" s="10"/>
      <c r="Z40" s="10"/>
      <c r="AA40" s="10"/>
      <c r="AB40" s="10"/>
    </row>
    <row r="41" spans="1:28" ht="15.75" customHeight="1" x14ac:dyDescent="0.15">
      <c r="A41" s="13" t="s">
        <v>165</v>
      </c>
      <c r="B41" s="13" t="s">
        <v>178</v>
      </c>
      <c r="C41" s="28" t="s">
        <v>166</v>
      </c>
      <c r="D41" s="8" t="str">
        <f>CONCATENATE("*Tinatamad ka ba, walang time, o nahihirapang gumawa ng TOS at ", Sheet1!M41, " mo, ",Sheet1!O41," KasaMath? Kuha ka na ng ", Sheet1!P41,"!*
**Bakit perfect para sa’yo ang ", Sheet1!P41,"?**
",Sheet2!D$17, Sheet1!Q41," days  
- ", Sheet1!R41,"-item Multiple Choice test with Answer Key  
- Para sa teachers na nagmamadali at hindi kailangan ang TOS", L41, "
---
## Step 1: I-fill out at i-submit ang Order Form.
", "{{&lt; iframe src=""", "https://cityofsmiles.github.io/auto-order-form/?id=", LOWER(A41), """ height=""850"" &gt;}}","
## Step 2: Payment and Delivery
### Payment Methods
Mag-send ka lang ng ₱",Sheet1!F41," para sa **", Sheet1!M41,_xlfn._LONGTEXT("**.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Sheet1!R41,"-item multiple choice test
  - Dimensions: A4 bond paper
  - Format: PDF, created using LaTeX
- **Answer Key**
  - Format: PDF, created using LaTeX", Sheet2!$D$6)</f>
        <v>*Tinatamad ka ba, walang time, o nahihirapang gumawa ng TOS at Second Summative test mo, Grade 9 KasaMath? Kuha ka na ng Basic Assessment Package!*
**Bakit perfect para sa’yo ang Basic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15 days  
- 25-item Multiple Choice test with Answer Key  
- Para sa teachers na nagmamadali at hindi kailangan ang TOS
---
📑 **Competencies Covered**
- Express the relationship between two variables as a function.
- Determine the slopes (as rate of change) and zeros of linear functions represented in graphs, equations, and tables of values.
- Graph a linear function and determine its domain, range, intercepts, and slope.
- Represent linear relationships found in real-life situations using different representations.
- Solve problems involving linear functions.
- Determine conditions that guarantee parallelism and perpendicularity of lines.
---
## Step 1: I-fill out at i-submit ang Order Form.
{{&lt; iframe src="https://cityofsmiles.github.io/auto-order-form/?id=g9-t1-s2-bp" height="850" &gt;}}
## Step 2: Payment and Delivery
### Payment Methods
Mag-send ka lang ng ₱59 para sa **Second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---
Salamat sa pagsuporta sa **TeXMathPro, KasaMath**! Kung may tanong o suggestion ka, [kontakin mo lang ako](mailto:texmathpro@gmail.com).</v>
      </c>
      <c r="E41" s="10"/>
      <c r="F41" s="9">
        <v>59</v>
      </c>
      <c r="G41" s="9">
        <v>49</v>
      </c>
      <c r="H41" s="10" t="b">
        <v>0</v>
      </c>
      <c r="I41" s="5">
        <v>46176</v>
      </c>
      <c r="J41" s="10" t="b">
        <v>1</v>
      </c>
      <c r="K41" s="17">
        <v>46179</v>
      </c>
      <c r="L41" s="24" t="s">
        <v>170</v>
      </c>
      <c r="M41" s="10" t="str" cm="1">
        <f t="array" ref="M41">_xlfn.XLOOKUP(TRUE,ISNUMBER(SEARCH(Sheet2!A$23:A$26,A41)),Sheet2!B$23:B$26,"")</f>
        <v>Second Summative test</v>
      </c>
      <c r="N41" s="10" t="str" cm="1">
        <f t="array" ref="N41">_xlfn.XLOOKUP(TRUE,ISNUMBER(SEARCH(Sheet2!A$32:A$34,A41)),Sheet2!B$32:B$34,"")</f>
        <v>First Term</v>
      </c>
      <c r="O41" s="10" t="str" cm="1">
        <f t="array" ref="O41">_xlfn.XLOOKUP(TRUE,ISNUMBER(SEARCH(Sheet2!A$38:A$41,A41)),Sheet2!B$38:B$41,"")</f>
        <v>Grade 9</v>
      </c>
      <c r="P41" s="10" t="str" cm="1">
        <f t="array" ref="P41">_xlfn.XLOOKUP(TRUE,ISNUMBER(SEARCH(Sheet2!A$45:A$47,A41)),Sheet2!B$45:B$47,"")</f>
        <v>Basic Assessment Package</v>
      </c>
      <c r="Q41" s="10">
        <v>15</v>
      </c>
      <c r="R41" s="10">
        <v>25</v>
      </c>
      <c r="S41" s="10"/>
      <c r="T41" s="10"/>
      <c r="U41" s="10"/>
      <c r="V41" s="10"/>
      <c r="W41" s="10"/>
      <c r="X41" s="10"/>
      <c r="Y41" s="10"/>
      <c r="Z41" s="10"/>
      <c r="AA41" s="10"/>
      <c r="AB41" s="10"/>
    </row>
    <row r="42" spans="1:28" ht="15.75" customHeight="1" x14ac:dyDescent="0.15">
      <c r="A42" s="13" t="s">
        <v>183</v>
      </c>
      <c r="B42" s="13" t="s">
        <v>184</v>
      </c>
      <c r="C42" s="28" t="s">
        <v>166</v>
      </c>
      <c r="D42" s="8" t="str">
        <f>CONCATENATE("*Tinatamad ka ba, walang time, o nahihirapang gumawa ng TOS at ", Sheet1!M42, " mo, ",Sheet1!O42," KasaMath? Kuha ka na ng ", Sheet1!P42,"!*
**Bakit perfect para sa’yo ang ", Sheet1!P42,"?**
",Sheet2!E$17, Sheet1!Q42," days  
- ", Sheet1!R42,"-item Multiple Choice test with Answer Key  
- Bagay sa teachers na gusto ng kumpletong exam, answer key, at TOS",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Skills*"),L42, "
---
## Step 1: I-fill out at i-submit ang Order Form.
", "{{&lt; iframe src=""", "https://cityofsmiles.github.io/auto-order-form/?id=", LOWER(A42), """ height=""850"" &gt;}}","
## Step 2: Payment and Delivery
### Payment Methods
Mag-send ka lang ng ₱",Sheet1!F42," para sa **", Sheet1!M42,_xlfn._LONGTEXT("**.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Sheet1!R42,"-item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Second Summative test mo, Grade 9 KasaMath? Kuha ka na ng Standard Assessment Package!*
**Bakit perfect para sa’yo ang Standard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15 days  
- 25-item Multiple Choice test with Answer Key  
- Bagay sa teachers na gusto ng kumpletong exam, answer key, at TOS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Express the relationship between two variables as a function.
- Determine the slopes (as rate of change) and zeros of linear functions represented in graphs, equations, and tables of values.
- Graph a linear function and determine its domain, range, intercepts, and slope.
- Represent linear relationships found in real-life situations using different representations.
- Solve problems involving linear functions.
- Determine conditions that guarantee parallelism and perpendicularity of lines.
---
## Step 1: I-fill out at i-submit ang Order Form.
{{&lt; iframe src="https://cityofsmiles.github.io/auto-order-form/?id=g9-t1-s2-sp" height="850" &gt;}}
## Step 2: Payment and Delivery
### Payment Methods
Mag-send ka lang ng ₱79 para sa **Second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42" s="10"/>
      <c r="F42" s="9">
        <v>79</v>
      </c>
      <c r="G42" s="9">
        <v>69</v>
      </c>
      <c r="H42" s="10" t="b">
        <v>0</v>
      </c>
      <c r="I42" s="5">
        <v>46176</v>
      </c>
      <c r="J42" s="10" t="b">
        <v>1</v>
      </c>
      <c r="K42" s="17">
        <v>46179</v>
      </c>
      <c r="L42" s="24" t="s">
        <v>170</v>
      </c>
      <c r="M42" s="10" t="str" cm="1">
        <f t="array" ref="M42">_xlfn.XLOOKUP(TRUE,ISNUMBER(SEARCH(Sheet2!A$23:A$26,A42)),Sheet2!B$23:B$26,"")</f>
        <v>Second Summative test</v>
      </c>
      <c r="N42" s="10" t="str" cm="1">
        <f t="array" ref="N42">_xlfn.XLOOKUP(TRUE,ISNUMBER(SEARCH(Sheet2!A$32:A$34,A42)),Sheet2!B$32:B$34,"")</f>
        <v>First Term</v>
      </c>
      <c r="O42" s="10" t="str" cm="1">
        <f t="array" ref="O42">_xlfn.XLOOKUP(TRUE,ISNUMBER(SEARCH(Sheet2!A$38:A$41,A42)),Sheet2!B$38:B$41,"")</f>
        <v>Grade 9</v>
      </c>
      <c r="P42" s="10" t="str" cm="1">
        <f t="array" ref="P42">_xlfn.XLOOKUP(TRUE,ISNUMBER(SEARCH(Sheet2!A$45:A$47,A42)),Sheet2!B$45:B$47,"")</f>
        <v>Standard Assessment Package</v>
      </c>
      <c r="Q42" s="10">
        <v>15</v>
      </c>
      <c r="R42" s="10">
        <v>25</v>
      </c>
      <c r="S42" s="10"/>
      <c r="T42" s="10"/>
      <c r="U42" s="10"/>
      <c r="V42" s="10"/>
      <c r="W42" s="10"/>
      <c r="X42" s="10"/>
      <c r="Y42" s="10"/>
      <c r="Z42" s="10"/>
      <c r="AA42" s="10"/>
      <c r="AB42" s="10"/>
    </row>
    <row r="43" spans="1:28" ht="15.75" customHeight="1" x14ac:dyDescent="0.15">
      <c r="A43" s="13" t="s">
        <v>211</v>
      </c>
      <c r="B43" s="13" t="s">
        <v>212</v>
      </c>
      <c r="C43" s="28" t="s">
        <v>166</v>
      </c>
      <c r="D43" s="8" t="str">
        <f>CONCATENATE("*Tinatamad ka ba, walang time, o nahihirapang gumawa ng TOS at ", Sheet1!M43, " mo, ",Sheet1!O43," KasaMath? Kuha ka na ng ", Sheet1!P43,"!*
**Bakit perfect para sa’yo ang ", Sheet1!P43,"?**
",Sheet2!F$17," 
- Perfect sa teachers na gusto ng pasadyang exam",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Skills*"),L43, "
---
## Step 1: I-fill out at i-submit ang Order Form.
", "{{&lt; iframe src=""", "https://cityofsmiles.github.io/auto-order-form/?id=", LOWER(A43), """ height=""850"" &gt;}}","
## Step 2: Payment and Delivery
### Payment Methods
Mag-send ka lang ng ₱",Sheet1!F43," para sa **", Sheet1!M43,_xlfn._LONGTEXT("**.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Sheet1!R43,"-item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Second Summative test mo, Grade 9 KasaMath? Kuha ka na ng Custom Assessment Package!*
**Bakit perfect para sa’yo ang Custom Assessment Package?**
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 
- Perfect sa teachers na gusto ng pasadyang exam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Express the relationship between two variables as a function.
- Determine the slopes (as rate of change) and zeros of linear functions represented in graphs, equations, and tables of values.
- Graph a linear function and determine its domain, range, intercepts, and slope.
- Represent linear relationships found in real-life situations using different representations.
- Solve problems involving linear functions.
- Determine conditions that guarantee parallelism and perpendicularity of lines.
---
## Step 1: I-fill out at i-submit ang Order Form.
{{&lt; iframe src="https://cityofsmiles.github.io/auto-order-form/?id=g9-t1-s2-cp" height="850" &gt;}}
## Step 2: Payment and Delivery
### Payment Methods
Mag-send ka lang ng ₱179 para sa **Second Summative test**.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25-50-item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43" s="4"/>
      <c r="F43" s="9">
        <v>179</v>
      </c>
      <c r="G43" s="9">
        <v>169</v>
      </c>
      <c r="H43" s="4" t="b">
        <v>0</v>
      </c>
      <c r="I43" s="5">
        <v>46176</v>
      </c>
      <c r="J43" s="4" t="b">
        <v>1</v>
      </c>
      <c r="K43" s="17">
        <v>46179</v>
      </c>
      <c r="L43" s="24" t="s">
        <v>170</v>
      </c>
      <c r="M43" s="10" t="str" cm="1">
        <f t="array" ref="M43">_xlfn.XLOOKUP(TRUE,ISNUMBER(SEARCH(Sheet2!A$23:A$26,A43)),Sheet2!B$23:B$26,"")</f>
        <v>Second Summative test</v>
      </c>
      <c r="N43" s="10" t="str" cm="1">
        <f t="array" ref="N43">_xlfn.XLOOKUP(TRUE,ISNUMBER(SEARCH(Sheet2!A$32:A$34,A43)),Sheet2!B$32:B$34,"")</f>
        <v>First Term</v>
      </c>
      <c r="O43" s="10" t="str" cm="1">
        <f t="array" ref="O43">_xlfn.XLOOKUP(TRUE,ISNUMBER(SEARCH(Sheet2!A$38:A$41,A43)),Sheet2!B$38:B$41,"")</f>
        <v>Grade 9</v>
      </c>
      <c r="P43" s="10" t="str" cm="1">
        <f t="array" ref="P43">_xlfn.XLOOKUP(TRUE,ISNUMBER(SEARCH(Sheet2!A$45:A$47,A43)),Sheet2!B$45:B$47,"")</f>
        <v>Custom Assessment Package</v>
      </c>
      <c r="Q43" s="10"/>
      <c r="R43" s="10" t="s">
        <v>207</v>
      </c>
      <c r="S43" s="10"/>
      <c r="T43" s="10"/>
      <c r="U43" s="10"/>
      <c r="V43" s="10"/>
      <c r="W43" s="10"/>
      <c r="X43" s="10"/>
      <c r="Y43" s="10"/>
      <c r="Z43" s="10"/>
      <c r="AA43" s="10"/>
      <c r="AB43" s="10"/>
    </row>
    <row r="44" spans="1:28" ht="15.75" customHeight="1" x14ac:dyDescent="0.15">
      <c r="A44" s="13" t="s">
        <v>47</v>
      </c>
      <c r="B44" s="13" t="s">
        <v>48</v>
      </c>
      <c r="C44" s="20" t="s">
        <v>49</v>
      </c>
      <c r="D44" s="8">
        <f>Sheet2!$D$2</f>
        <v>0</v>
      </c>
      <c r="E44" s="4"/>
      <c r="F44" s="9">
        <v>120</v>
      </c>
      <c r="G44" s="9">
        <v>84</v>
      </c>
      <c r="H44" s="4" t="b">
        <v>0</v>
      </c>
      <c r="I44" s="5">
        <v>46176</v>
      </c>
      <c r="J44" s="4" t="b">
        <v>0</v>
      </c>
      <c r="K44" s="17">
        <v>46176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</row>
    <row r="45" spans="1:28" ht="15.75" customHeight="1" x14ac:dyDescent="0.15">
      <c r="A45" s="13" t="s">
        <v>50</v>
      </c>
      <c r="B45" s="13" t="s">
        <v>51</v>
      </c>
      <c r="C45" s="20" t="s">
        <v>49</v>
      </c>
      <c r="D45" s="8">
        <f>Sheet2!$E$2</f>
        <v>0</v>
      </c>
      <c r="E45" s="4"/>
      <c r="F45" s="15">
        <v>165</v>
      </c>
      <c r="G45" s="15">
        <v>115</v>
      </c>
      <c r="H45" s="4" t="b">
        <v>0</v>
      </c>
      <c r="I45" s="5">
        <v>46176</v>
      </c>
      <c r="J45" s="4" t="b">
        <v>0</v>
      </c>
      <c r="K45" s="17">
        <v>46176</v>
      </c>
    </row>
    <row r="46" spans="1:28" ht="15.75" customHeight="1" x14ac:dyDescent="0.15">
      <c r="A46" s="13" t="s">
        <v>188</v>
      </c>
      <c r="B46" s="13" t="s">
        <v>257</v>
      </c>
      <c r="C46" s="20" t="s">
        <v>49</v>
      </c>
      <c r="D46" s="8">
        <f>Sheet2!$F$2</f>
        <v>0</v>
      </c>
      <c r="E46" s="4"/>
      <c r="F46" s="15">
        <v>350</v>
      </c>
      <c r="G46" s="15">
        <v>245</v>
      </c>
      <c r="H46" s="4" t="b">
        <v>0</v>
      </c>
      <c r="I46" s="5">
        <v>46176</v>
      </c>
      <c r="J46" s="4" t="b">
        <v>0</v>
      </c>
      <c r="K46" s="17">
        <v>46176</v>
      </c>
    </row>
    <row r="47" spans="1:28" ht="15.75" customHeight="1" x14ac:dyDescent="0.15">
      <c r="A47" s="13" t="s">
        <v>130</v>
      </c>
      <c r="B47" s="13" t="s">
        <v>235</v>
      </c>
      <c r="C47" s="28" t="s">
        <v>237</v>
      </c>
      <c r="D47" s="8" t="str">
        <f>CONCATENATE("*Tinatamad ka ba, walang time, o nahihirapang gumawa ng ",  Sheet1!M47, " mo, ",Sheet1!O47," KasaMath? Kuha ka na ng ", Sheet1!P47,"!*
**Bakit perfect para sa’yo ang ", Sheet1!P47,"?**
",Sheet2!D$17, Sheet1!Q47," days  
- ", Sheet1!R47,"-item Multiple Choice test with Answer Key  
- Para sa teachers na nagmamadali at hindi kailangan ang TOS", L47, "
---
## Step 1: I-fill out at i-submit ang Order Form.
", "{{&lt; iframe src=""", "https://cityofsmiles.github.io/auto-order-form/?id=", LOWER(A47), """ height=""850"" &gt;}}","
## Step 2: Payment and Delivery
### Payment Methods
Mag-send ka lang ng ₱",Sheet1!F47," para sa **", Sheet1!M47,_xlfn._LONGTEXT("**.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Sheet1!R47,"-item multiple choice test
  - Dimensions: A4 bond paper
  - Format: PDF, created using LaTeX
- **Answer Key**
  - Format: PDF, created using LaTeX", Sheet2!$D$6)</f>
        <v>*Tinatamad ka ba, walang time, o nahihirapang gumawa ng Term Exam mo, Grade 7 KasaMath? Kuha ka na ng Basic Assessment Package!*
**Bakit perfect para sa’yo ang Basic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25 days  
- 50-item Multiple Choice test with Answer Key  
- Para sa teachers na nagmamadali at hindi kailangan ang TOS
---
📑 **Competencies Covered**
- Describe and explain the relationships between angle pairs based on their measures.
- Deduce the relationship between the exterior angle and adjacent interior angle of a polygon.
- Solve problems involving percentage increase and percentage decrease.
- Solve money problems involving percentages (e. g., discount, commission, sales tax, simple interest).
- Identify and explain the uses of rates.
- Solve problems involving rates (e.g., speed).
- Describe given rational numbers as fractions, decimals, or percentages.
- Order rational numbers on a number line.
- Perform operations on rational numbers.
---
## Step 1: I-fill out at i-submit ang Order Form.
{{&lt; iframe src="https://cityofsmiles.github.io/auto-order-form/?id=g7-t1-te-bp" height="850" &gt;}}
## Step 2: Payment and Delivery
### Payment Methods
Mag-send ka lang ng ₱119 para sa **Term Exam**.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---
Salamat sa pagsuporta sa **TeXMathPro, KasaMath**! Kung may tanong o suggestion ka, [kontakin mo lang ako](mailto:texmathpro@gmail.com).</v>
      </c>
      <c r="E47" s="4"/>
      <c r="F47" s="9">
        <v>119</v>
      </c>
      <c r="G47" s="9">
        <v>84</v>
      </c>
      <c r="H47" s="4" t="b">
        <v>0</v>
      </c>
      <c r="I47" s="5">
        <v>46176</v>
      </c>
      <c r="J47" s="4" t="b">
        <v>1</v>
      </c>
      <c r="K47" s="17">
        <v>46176</v>
      </c>
      <c r="L47" s="24" t="s">
        <v>238</v>
      </c>
      <c r="M47" s="10" t="str" cm="1">
        <f t="array" ref="M47">_xlfn.XLOOKUP(TRUE,ISNUMBER(SEARCH(Sheet2!A$23:A$26,A47)),Sheet2!B$23:B$26,"")</f>
        <v>Term Exam</v>
      </c>
      <c r="N47" s="10" t="str" cm="1">
        <f t="array" ref="N47">_xlfn.XLOOKUP(TRUE,ISNUMBER(SEARCH(Sheet2!A$32:A$34,A47)),Sheet2!B$32:B$34,"")</f>
        <v>First Term</v>
      </c>
      <c r="O47" s="10" t="str" cm="1">
        <f t="array" ref="O47">_xlfn.XLOOKUP(TRUE,ISNUMBER(SEARCH(Sheet2!A$38:A$41,A47)),Sheet2!B$38:B$41,"")</f>
        <v>Grade 7</v>
      </c>
      <c r="P47" s="10" t="str" cm="1">
        <f t="array" ref="P47">_xlfn.XLOOKUP(TRUE,ISNUMBER(SEARCH(Sheet2!A$45:A$47,A47)),Sheet2!B$45:B$47,"")</f>
        <v>Basic Assessment Package</v>
      </c>
      <c r="Q47" s="10">
        <v>25</v>
      </c>
      <c r="R47" s="10">
        <v>50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</row>
    <row r="48" spans="1:28" ht="15.75" customHeight="1" x14ac:dyDescent="0.15">
      <c r="A48" s="13" t="s">
        <v>131</v>
      </c>
      <c r="B48" s="13" t="s">
        <v>221</v>
      </c>
      <c r="C48" s="28" t="s">
        <v>237</v>
      </c>
      <c r="D48" s="8" t="str">
        <f>CONCATENATE("*Tinatamad ka ba, walang time, o nahihirapang gumawa ng TOS at ",  Sheet1!M48, " mo, ",Sheet1!O48," KasaMath? Kuha ka na ng ", Sheet1!P48,"!*
**Bakit perfect para sa’yo ang ", Sheet1!P48,"?**
",Sheet2!E$17, Sheet1!Q48," days  
- ", Sheet1!R48,"-item Multiple Choice test with Answer Key  
- Bagay sa teachers na gusto ng kumpletong exam, answer key, at TOS",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 L48, "
---
## Step 1: I-fill out at i-submit ang Order Form.
", "{{&lt; iframe src=""", "https://cityofsmiles.github.io/auto-order-form/?id=", LOWER(A48), """ height=""850"" &gt;}}","
## Step 2: Payment and Delivery
### Payment Methods
Mag-send ka lang ng ₱",Sheet1!F48," para sa **", Sheet1!M48,_xlfn._LONGTEXT("**.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Sheet1!R48,"-item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Term Exam mo, Grade 7 KasaMath? Kuha ka na ng Standard Assessment Package!*
**Bakit perfect para sa’yo ang Standard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25 days  
- 50-item Multiple Choice test with Answer Key  
- Bagay sa teachers na gusto ng kumpletong exam, answer key, at TOS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Describe and explain the relationships between angle pairs based on their measures.
- Deduce the relationship between the exterior angle and adjacent interior angle of a polygon.
- Solve problems involving percentage increase and percentage decrease.
- Solve money problems involving percentages (e. g., discount, commission, sales tax, simple interest).
- Identify and explain the uses of rates.
- Solve problems involving rates (e.g., speed).
- Describe given rational numbers as fractions, decimals, or percentages.
- Order rational numbers on a number line.
- Perform operations on rational numbers.
---
## Step 1: I-fill out at i-submit ang Order Form.
{{&lt; iframe src="https://cityofsmiles.github.io/auto-order-form/?id=g7-t1-te-sp" height="850" &gt;}}
## Step 2: Payment and Delivery
### Payment Methods
Mag-send ka lang ng ₱169 para sa **Term Exam**.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48" s="4"/>
      <c r="F48" s="15">
        <v>169</v>
      </c>
      <c r="G48" s="15">
        <v>115</v>
      </c>
      <c r="H48" s="4" t="b">
        <v>0</v>
      </c>
      <c r="I48" s="5">
        <v>46176</v>
      </c>
      <c r="J48" s="10" t="b">
        <v>1</v>
      </c>
      <c r="K48" s="17">
        <v>46176</v>
      </c>
      <c r="L48" s="24" t="s">
        <v>238</v>
      </c>
      <c r="M48" s="10" t="str" cm="1">
        <f t="array" ref="M48">_xlfn.XLOOKUP(TRUE,ISNUMBER(SEARCH(Sheet2!A$23:A$26,A48)),Sheet2!B$23:B$26,"")</f>
        <v>Term Exam</v>
      </c>
      <c r="N48" s="10" t="str" cm="1">
        <f t="array" ref="N48">_xlfn.XLOOKUP(TRUE,ISNUMBER(SEARCH(Sheet2!A$32:A$34,A48)),Sheet2!B$32:B$34,"")</f>
        <v>First Term</v>
      </c>
      <c r="O48" s="10" t="str" cm="1">
        <f t="array" ref="O48">_xlfn.XLOOKUP(TRUE,ISNUMBER(SEARCH(Sheet2!A$38:A$41,A48)),Sheet2!B$38:B$41,"")</f>
        <v>Grade 7</v>
      </c>
      <c r="P48" s="10" t="str" cm="1">
        <f t="array" ref="P48">_xlfn.XLOOKUP(TRUE,ISNUMBER(SEARCH(Sheet2!A$45:A$47,A48)),Sheet2!B$45:B$47,"")</f>
        <v>Standard Assessment Package</v>
      </c>
      <c r="Q48" s="10">
        <v>25</v>
      </c>
      <c r="R48" s="10">
        <v>50</v>
      </c>
      <c r="S48" s="10"/>
    </row>
    <row r="49" spans="1:28" ht="15.75" customHeight="1" x14ac:dyDescent="0.15">
      <c r="A49" s="13" t="s">
        <v>189</v>
      </c>
      <c r="B49" s="13" t="s">
        <v>258</v>
      </c>
      <c r="C49" s="28" t="s">
        <v>237</v>
      </c>
      <c r="D49" s="8" t="str">
        <f>CONCATENATE("*Tinatamad ka ba, walang time, o nahihirapang gumawa ng TOS at ",  Sheet1!M49, " mo, ",Sheet1!O49," KasaMath? Kuha ka na ng ", Sheet1!P49,"!*
**Bakit perfect para sa’yo ang ", Sheet1!P49,"?**
",Sheet2!F$17,"
- Perfect sa teachers na gusto ng pasadyang exam",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 L49, "
---
## Step 1: I-fill out at i-submit ang Order Form.
", "{{&lt; iframe src=""", "https://cityofsmiles.github.io/auto-order-form/?id=", LOWER(A49), """ height=""850"" &gt;}}","
## Step 2: Payment and Delivery
### Payment Methods
Mag-send ka lang ng ₱",Sheet1!F49," para sa **", Sheet1!M49,_xlfn._LONGTEXT("**.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Sheet1!R49,"-item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Term Exam mo, Grade 7 KasaMath? Kuha ka na ng Custom Assessment Package!*
**Bakit perfect para sa’yo ang Custom Assessment Package?**
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
- Perfect sa teachers na gusto ng pasadyang exam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Describe and explain the relationships between angle pairs based on their measures.
- Deduce the relationship between the exterior angle and adjacent interior angle of a polygon.
- Solve problems involving percentage increase and percentage decrease.
- Solve money problems involving percentages (e. g., discount, commission, sales tax, simple interest).
- Identify and explain the uses of rates.
- Solve problems involving rates (e.g., speed).
- Describe given rational numbers as fractions, decimals, or percentages.
- Order rational numbers on a number line.
- Perform operations on rational numbers.
---
## Step 1: I-fill out at i-submit ang Order Form.
{{&lt; iframe src="https://cityofsmiles.github.io/auto-order-form/?id=g7-t1-te-cp" height="850" &gt;}}
## Step 2: Payment and Delivery
### Payment Methods
Mag-send ka lang ng ₱359 para sa **Term Exam**.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49" s="4"/>
      <c r="F49" s="15">
        <v>359</v>
      </c>
      <c r="G49" s="15">
        <v>245</v>
      </c>
      <c r="H49" s="4" t="b">
        <v>0</v>
      </c>
      <c r="I49" s="5">
        <v>46176</v>
      </c>
      <c r="J49" s="10" t="b">
        <v>1</v>
      </c>
      <c r="K49" s="17">
        <v>46176</v>
      </c>
      <c r="L49" s="24" t="s">
        <v>238</v>
      </c>
      <c r="M49" s="10" t="str" cm="1">
        <f t="array" ref="M49">_xlfn.XLOOKUP(TRUE,ISNUMBER(SEARCH(Sheet2!A$23:A$26,A49)),Sheet2!B$23:B$26,"")</f>
        <v>Term Exam</v>
      </c>
      <c r="N49" s="10" t="str" cm="1">
        <f t="array" ref="N49">_xlfn.XLOOKUP(TRUE,ISNUMBER(SEARCH(Sheet2!A$32:A$34,A49)),Sheet2!B$32:B$34,"")</f>
        <v>First Term</v>
      </c>
      <c r="O49" s="10" t="str" cm="1">
        <f t="array" ref="O49">_xlfn.XLOOKUP(TRUE,ISNUMBER(SEARCH(Sheet2!A$38:A$41,A49)),Sheet2!B$38:B$41,"")</f>
        <v>Grade 7</v>
      </c>
      <c r="P49" s="10" t="str" cm="1">
        <f t="array" ref="P49">_xlfn.XLOOKUP(TRUE,ISNUMBER(SEARCH(Sheet2!A$45:A$47,A49)),Sheet2!B$45:B$47,"")</f>
        <v>Custom Assessment Package</v>
      </c>
      <c r="Q49" s="10">
        <v>25</v>
      </c>
      <c r="R49" s="10">
        <v>50</v>
      </c>
      <c r="S49" s="10"/>
    </row>
    <row r="50" spans="1:28" ht="15.75" customHeight="1" x14ac:dyDescent="0.15">
      <c r="A50" s="13" t="s">
        <v>132</v>
      </c>
      <c r="B50" s="13" t="s">
        <v>222</v>
      </c>
      <c r="C50" s="16" t="s">
        <v>52</v>
      </c>
      <c r="D50" s="8">
        <f>Sheet2!$D$2</f>
        <v>0</v>
      </c>
      <c r="E50" s="4"/>
      <c r="F50" s="9">
        <v>120</v>
      </c>
      <c r="G50" s="9">
        <v>84</v>
      </c>
      <c r="H50" s="4" t="b">
        <v>0</v>
      </c>
      <c r="I50" s="5">
        <v>46176</v>
      </c>
      <c r="J50" s="4" t="b">
        <v>0</v>
      </c>
      <c r="K50" s="17">
        <v>46176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</row>
    <row r="51" spans="1:28" ht="15.75" customHeight="1" x14ac:dyDescent="0.15">
      <c r="A51" s="13" t="s">
        <v>133</v>
      </c>
      <c r="B51" s="13" t="s">
        <v>223</v>
      </c>
      <c r="C51" s="14" t="s">
        <v>52</v>
      </c>
      <c r="D51" s="8">
        <f>Sheet2!$E$2</f>
        <v>0</v>
      </c>
      <c r="E51" s="4"/>
      <c r="F51" s="15">
        <v>165</v>
      </c>
      <c r="G51" s="15">
        <v>115</v>
      </c>
      <c r="H51" s="4" t="b">
        <v>0</v>
      </c>
      <c r="I51" s="5">
        <v>46176</v>
      </c>
      <c r="J51" s="4" t="b">
        <v>0</v>
      </c>
      <c r="K51" s="17">
        <v>46176</v>
      </c>
    </row>
    <row r="52" spans="1:28" ht="15.75" customHeight="1" x14ac:dyDescent="0.15">
      <c r="A52" s="13" t="s">
        <v>190</v>
      </c>
      <c r="B52" s="13" t="s">
        <v>259</v>
      </c>
      <c r="C52" s="14" t="s">
        <v>52</v>
      </c>
      <c r="D52" s="8">
        <f>Sheet2!$F$2</f>
        <v>0</v>
      </c>
      <c r="E52" s="4"/>
      <c r="F52" s="15">
        <v>350</v>
      </c>
      <c r="G52" s="15">
        <v>245</v>
      </c>
      <c r="H52" s="4" t="b">
        <v>0</v>
      </c>
      <c r="I52" s="5">
        <v>46176</v>
      </c>
      <c r="J52" s="4" t="b">
        <v>0</v>
      </c>
      <c r="K52" s="17">
        <v>46176</v>
      </c>
    </row>
    <row r="53" spans="1:28" ht="15.75" customHeight="1" x14ac:dyDescent="0.15">
      <c r="A53" s="13" t="s">
        <v>134</v>
      </c>
      <c r="B53" s="13" t="s">
        <v>236</v>
      </c>
      <c r="C53" s="25" t="s">
        <v>261</v>
      </c>
      <c r="D53" s="8" t="str">
        <f>CONCATENATE("*Tinatamad ka ba, walang time, o nahihirapang gumawa ng ",  Sheet1!M53, " mo, ",Sheet1!O53," KasaMath? Kuha ka na ng ", Sheet1!P53,"!*
**Bakit perfect para sa’yo ang ", Sheet1!P53,"?**
",Sheet2!D$17, Sheet1!Q53," days  
- ", Sheet1!R53,"-item Multiple Choice test with Answer Key  
- Para sa teachers na nagmamadali at hindi kailangan ang TOS", L53, "
---
## Step 1: I-fill out at i-submit ang Order Form.
", "{{&lt; iframe src=""", "https://cityofsmiles.github.io/auto-order-form/?id=", LOWER(A53), """ height=""850"" &gt;}}","
## Step 2: Payment and Delivery
### Payment Methods
Mag-send ka lang ng ₱",Sheet1!F53," para sa **", Sheet1!M53,_xlfn._LONGTEXT("**.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Sheet1!R53,"-item multiple choice test
  - Dimensions: A4 bond paper
  - Format: PDF, created using LaTeX
- **Answer Key**
  - Format: PDF, created using LaTeX", Sheet2!$D$6)</f>
        <v>*Tinatamad ka ba, walang time, o nahihirapang gumawa ng Term Exam mo, Grade 9 KasaMath? Kuha ka na ng Basic Assessment Package!*
**Bakit perfect para sa’yo ang Basic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25 days  
- 50-item Multiple Choice test with Answer Key  
- Para sa teachers na nagmamadali at hindi kailangan ang TOS
---
📑 **Competencies Covered**
- Identify the relationships between angles formed by parallel lines cut by a transversal.	
- Determine angle measures involving angle pairs, parallel and perpendicular lines, and parallel lines cut by a transversal.	
- Graph a linear function and determine its domain, range, intercepts, and slope.	
- Solve problems involving linear functions.	
- Determine conditions that guarantee parallelism and perpendicularity of lines.	
- Classify quadrilaterals based on formal definitions.	
- Determine the properties of parallelograms.	
- Use properties of parallelograms to find measures of angles, sides, perpendicular height, and diagonals.	
- Solve problems involving parallelograms, rectangles, squares and rhombuses by applying their different properties.
---
## Step 1: I-fill out at i-submit ang Order Form.
{{&lt; iframe src="https://cityofsmiles.github.io/auto-order-form/?id=g9-t1-te-bp" height="850" &gt;}}
## Step 2: Payment and Delivery
### Payment Methods
Mag-send ka lang ng ₱119 para sa **Term Exam**.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---
Salamat sa pagsuporta sa **TeXMathPro, KasaMath**! Kung may tanong o suggestion ka, [kontakin mo lang ako](mailto:texmathpro@gmail.com).</v>
      </c>
      <c r="E53" s="4"/>
      <c r="F53" s="9">
        <v>119</v>
      </c>
      <c r="G53" s="9">
        <v>84</v>
      </c>
      <c r="H53" s="4" t="b">
        <v>0</v>
      </c>
      <c r="I53" s="5">
        <v>46176</v>
      </c>
      <c r="J53" s="10" t="b">
        <v>1</v>
      </c>
      <c r="K53" s="17">
        <v>46176</v>
      </c>
      <c r="L53" s="24" t="s">
        <v>262</v>
      </c>
      <c r="M53" s="10" t="str" cm="1">
        <f t="array" ref="M53">_xlfn.XLOOKUP(TRUE,ISNUMBER(SEARCH(Sheet2!A$23:A$26,A53)),Sheet2!B$23:B$26,"")</f>
        <v>Term Exam</v>
      </c>
      <c r="N53" s="10" t="str" cm="1">
        <f t="array" ref="N53">_xlfn.XLOOKUP(TRUE,ISNUMBER(SEARCH(Sheet2!A$32:A$34,A53)),Sheet2!B$32:B$34,"")</f>
        <v>First Term</v>
      </c>
      <c r="O53" s="10" t="str" cm="1">
        <f t="array" ref="O53">_xlfn.XLOOKUP(TRUE,ISNUMBER(SEARCH(Sheet2!A$38:A$41,A53)),Sheet2!B$38:B$41,"")</f>
        <v>Grade 9</v>
      </c>
      <c r="P53" s="10" t="str" cm="1">
        <f t="array" ref="P53">_xlfn.XLOOKUP(TRUE,ISNUMBER(SEARCH(Sheet2!A$45:A$47,A53)),Sheet2!B$45:B$47,"")</f>
        <v>Basic Assessment Package</v>
      </c>
      <c r="Q53" s="10">
        <v>25</v>
      </c>
      <c r="R53" s="10">
        <v>50</v>
      </c>
      <c r="S53" s="10"/>
      <c r="T53" s="10"/>
      <c r="U53" s="10"/>
      <c r="V53" s="10"/>
      <c r="W53" s="10"/>
      <c r="X53" s="10"/>
      <c r="Y53" s="10"/>
      <c r="Z53" s="10"/>
      <c r="AA53" s="10"/>
      <c r="AB53" s="10"/>
    </row>
    <row r="54" spans="1:28" ht="15.75" customHeight="1" x14ac:dyDescent="0.15">
      <c r="A54" s="13" t="s">
        <v>135</v>
      </c>
      <c r="B54" s="13" t="s">
        <v>224</v>
      </c>
      <c r="C54" s="25" t="s">
        <v>261</v>
      </c>
      <c r="D54" s="8" t="str">
        <f>CONCATENATE("*Tinatamad ka ba, walang time, o nahihirapang gumawa ng TOS at ",  Sheet1!M54, " mo, ",Sheet1!O54," KasaMath? Kuha ka na ng ", Sheet1!P54,"!*
**Bakit perfect para sa’yo ang ", Sheet1!P54,"?**
",Sheet2!E$17, Sheet1!Q54," days  
- ", Sheet1!R54,"-item Multiple Choice test with Answer Key  
- Bagay sa teachers na gusto ng kumpletong exam, answer key, at TOS",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 L54, "
---
## Step 1: I-fill out at i-submit ang Order Form.
", "{{&lt; iframe src=""", "https://cityofsmiles.github.io/auto-order-form/?id=", LOWER(A54), """ height=""850"" &gt;}}","
## Step 2: Payment and Delivery
### Payment Methods
Mag-send ka lang ng ₱",Sheet1!F54," para sa **", Sheet1!M54,_xlfn._LONGTEXT("**.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Sheet1!R54,"-item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Term Exam mo, Grade 9 KasaMath? Kuha ka na ng Standard Assessment Package!*
**Bakit perfect para sa’yo ang Standard Assessment Package?**
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25 days  
- 50-item Multiple Choice test with Answer Key  
- Bagay sa teachers na gusto ng kumpletong exam, answer key, at TOS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Identify the relationships between angles formed by parallel lines cut by a transversal.	
- Determine angle measures involving angle pairs, parallel and perpendicular lines, and parallel lines cut by a transversal.	
- Graph a linear function and determine its domain, range, intercepts, and slope.	
- Solve problems involving linear functions.	
- Determine conditions that guarantee parallelism and perpendicularity of lines.	
- Classify quadrilaterals based on formal definitions.	
- Determine the properties of parallelograms.	
- Use properties of parallelograms to find measures of angles, sides, perpendicular height, and diagonals.	
- Solve problems involving parallelograms, rectangles, squares and rhombuses by applying their different properties.
---
## Step 1: I-fill out at i-submit ang Order Form.
{{&lt; iframe src="https://cityofsmiles.github.io/auto-order-form/?id=g9-t1-te-sp" height="850" &gt;}}
## Step 2: Payment and Delivery
### Payment Methods
Mag-send ka lang ng ₱169 para sa **Term Exam**.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54" s="4"/>
      <c r="F54" s="15">
        <v>169</v>
      </c>
      <c r="G54" s="15">
        <v>115</v>
      </c>
      <c r="H54" s="4" t="b">
        <v>0</v>
      </c>
      <c r="I54" s="5">
        <v>46176</v>
      </c>
      <c r="J54" s="10" t="b">
        <v>1</v>
      </c>
      <c r="K54" s="17">
        <v>46176</v>
      </c>
      <c r="L54" s="24" t="s">
        <v>262</v>
      </c>
      <c r="M54" s="10" t="str" cm="1">
        <f t="array" ref="M54">_xlfn.XLOOKUP(TRUE,ISNUMBER(SEARCH(Sheet2!A$23:A$26,A54)),Sheet2!B$23:B$26,"")</f>
        <v>Term Exam</v>
      </c>
      <c r="N54" s="10" t="str" cm="1">
        <f t="array" ref="N54">_xlfn.XLOOKUP(TRUE,ISNUMBER(SEARCH(Sheet2!A$32:A$34,A54)),Sheet2!B$32:B$34,"")</f>
        <v>First Term</v>
      </c>
      <c r="O54" s="10" t="str" cm="1">
        <f t="array" ref="O54">_xlfn.XLOOKUP(TRUE,ISNUMBER(SEARCH(Sheet2!A$38:A$41,A54)),Sheet2!B$38:B$41,"")</f>
        <v>Grade 9</v>
      </c>
      <c r="P54" s="10" t="str" cm="1">
        <f t="array" ref="P54">_xlfn.XLOOKUP(TRUE,ISNUMBER(SEARCH(Sheet2!A$45:A$47,A54)),Sheet2!B$45:B$47,"")</f>
        <v>Standard Assessment Package</v>
      </c>
      <c r="Q54" s="10">
        <v>25</v>
      </c>
      <c r="R54" s="10">
        <v>50</v>
      </c>
    </row>
    <row r="55" spans="1:28" ht="15.75" customHeight="1" x14ac:dyDescent="0.15">
      <c r="A55" s="13" t="s">
        <v>191</v>
      </c>
      <c r="B55" s="13" t="s">
        <v>260</v>
      </c>
      <c r="C55" s="25" t="s">
        <v>261</v>
      </c>
      <c r="D55" s="8" t="str">
        <f>CONCATENATE("*Tinatamad ka ba, walang time, o nahihirapang gumawa ng TOS at ",  Sheet1!M55, " mo, ",Sheet1!O55," KasaMath? Kuha ka na ng ", Sheet1!P55,"!*
**Bakit perfect para sa’yo ang ", Sheet1!P55,"?**
",Sheet2!F$17,"
- Perfect sa teachers na gusto ng pasadyang exam", _xlfn._LONGTEXT("
[![Sample TOS formatted using 21st Century Skills](https://res.cloudinary.com/dadubemrv/image/upload/v1768351176/tv5zwilsnzrad6r2q6sw.png)](https://res.cloudinary.com/dadubemrv/image/upload/v1768351176/tv5zwilsnzrad6r2q6sw.png)
*Sample TOS formatted us","ing 21st Century Skills*"), L55, "
---
## Step 1: I-fill out at i-submit ang Order Form.
", "{{&lt; iframe src=""", "https://cityofsmiles.github.io/auto-order-form/?id=", LOWER(A55), """ height=""850"" &gt;}}","
## Step 2: Payment and Delivery
### Payment Methods
Mag-send ka lang ng ₱",Sheet1!F55," para sa **", Sheet1!M55,_xlfn._LONGTEXT("**.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**Test**
  - Test type: "), Sheet1!R55,"-item multiple choice test
  - Dimensions: A4 bond paper
  - Format: PDF, created using LaTeX
- **Answer Key**
  - Format: PDF, created using LaTeX
- **Table of Specifications**
  - XLSX format", Sheet2!$D$6)</f>
        <v>*Tinatamad ka ba, walang time, o nahihirapang gumawa ng TOS at Term Exam mo, Grade 9 KasaMath? Kuha ka na ng Custom Assessment Package!*
**Bakit perfect para sa’yo ang Custom Assessment Package?**
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
- Perfect sa teachers na gusto ng pasadyang exam
[![Sample TOS formatted using 21st Century Skills](https://res.cloudinary.com/dadubemrv/image/upload/v1768351176/tv5zwilsnzrad6r2q6sw.png)](https://res.cloudinary.com/dadubemrv/image/upload/v1768351176/tv5zwilsnzrad6r2q6sw.png)
*Sample TOS formatted using 21st Century Skills*
---
📑 **Competencies Covered**
- Identify the relationships between angles formed by parallel lines cut by a transversal.	
- Determine angle measures involving angle pairs, parallel and perpendicular lines, and parallel lines cut by a transversal.	
- Graph a linear function and determine its domain, range, intercepts, and slope.	
- Solve problems involving linear functions.	
- Determine conditions that guarantee parallelism and perpendicularity of lines.	
- Classify quadrilaterals based on formal definitions.	
- Determine the properties of parallelograms.	
- Use properties of parallelograms to find measures of angles, sides, perpendicular height, and diagonals.	
- Solve problems involving parallelograms, rectangles, squares and rhombuses by applying their different properties.
---
## Step 1: I-fill out at i-submit ang Order Form.
{{&lt; iframe src="https://cityofsmiles.github.io/auto-order-form/?id=g9-t1-te-cp" height="850" &gt;}}
## Step 2: Payment and Delivery
### Payment Methods
Mag-send ka lang ng ₱359 para sa **Term Exam**.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**Test**
  - Test type: 50-item multiple choice test
  - Dimensions: A4 bond paper
  - Format: PDF, created using LaTeX
- **Answer Key**
  - Format: PDF, created using LaTeX
- **Table of Specifications**
  - XLSX format
---
Salamat sa pagsuporta sa **TeXMathPro, KasaMath**! Kung may tanong o suggestion ka, [kontakin mo lang ako](mailto:texmathpro@gmail.com).</v>
      </c>
      <c r="E55" s="4"/>
      <c r="F55" s="15">
        <v>359</v>
      </c>
      <c r="G55" s="15">
        <v>245</v>
      </c>
      <c r="H55" s="4" t="b">
        <v>0</v>
      </c>
      <c r="I55" s="5">
        <v>46176</v>
      </c>
      <c r="J55" s="10" t="b">
        <v>1</v>
      </c>
      <c r="K55" s="17">
        <v>46176</v>
      </c>
      <c r="L55" s="24" t="s">
        <v>262</v>
      </c>
      <c r="M55" s="10" t="str" cm="1">
        <f t="array" ref="M55">_xlfn.XLOOKUP(TRUE,ISNUMBER(SEARCH(Sheet2!A$23:A$26,A55)),Sheet2!B$23:B$26,"")</f>
        <v>Term Exam</v>
      </c>
      <c r="N55" s="10" t="str" cm="1">
        <f t="array" ref="N55">_xlfn.XLOOKUP(TRUE,ISNUMBER(SEARCH(Sheet2!A$32:A$34,A55)),Sheet2!B$32:B$34,"")</f>
        <v>First Term</v>
      </c>
      <c r="O55" s="10" t="str" cm="1">
        <f t="array" ref="O55">_xlfn.XLOOKUP(TRUE,ISNUMBER(SEARCH(Sheet2!A$38:A$41,A55)),Sheet2!B$38:B$41,"")</f>
        <v>Grade 9</v>
      </c>
      <c r="P55" s="10" t="str" cm="1">
        <f t="array" ref="P55">_xlfn.XLOOKUP(TRUE,ISNUMBER(SEARCH(Sheet2!A$45:A$47,A55)),Sheet2!B$45:B$47,"")</f>
        <v>Custom Assessment Package</v>
      </c>
      <c r="Q55" s="10">
        <v>25</v>
      </c>
      <c r="R55" s="10">
        <v>50</v>
      </c>
    </row>
    <row r="56" spans="1:28" ht="15.75" customHeight="1" x14ac:dyDescent="0.15">
      <c r="A56" s="13" t="s">
        <v>136</v>
      </c>
      <c r="B56" s="13" t="s">
        <v>225</v>
      </c>
      <c r="C56" s="20" t="s">
        <v>53</v>
      </c>
      <c r="D56" s="8">
        <f>Sheet2!$D$2</f>
        <v>0</v>
      </c>
      <c r="E56" s="4"/>
      <c r="F56" s="9">
        <v>120</v>
      </c>
      <c r="G56" s="9">
        <v>84</v>
      </c>
      <c r="H56" s="4" t="b">
        <v>0</v>
      </c>
      <c r="I56" s="5">
        <v>46176</v>
      </c>
      <c r="J56" s="4" t="b">
        <v>0</v>
      </c>
      <c r="K56" s="17">
        <v>46176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</row>
    <row r="57" spans="1:28" ht="15.75" customHeight="1" x14ac:dyDescent="0.15">
      <c r="A57" s="13" t="s">
        <v>137</v>
      </c>
      <c r="B57" s="13" t="s">
        <v>226</v>
      </c>
      <c r="C57" s="20" t="s">
        <v>53</v>
      </c>
      <c r="D57" s="8">
        <f>Sheet2!$E$2</f>
        <v>0</v>
      </c>
      <c r="E57" s="4"/>
      <c r="F57" s="15">
        <v>165</v>
      </c>
      <c r="G57" s="15">
        <v>115</v>
      </c>
      <c r="H57" s="4" t="b">
        <v>0</v>
      </c>
      <c r="I57" s="5">
        <v>46176</v>
      </c>
      <c r="J57" s="4" t="b">
        <v>0</v>
      </c>
      <c r="K57" s="17">
        <v>46176</v>
      </c>
    </row>
    <row r="58" spans="1:28" ht="15.75" customHeight="1" x14ac:dyDescent="0.15">
      <c r="A58" s="13" t="s">
        <v>192</v>
      </c>
      <c r="B58" s="13" t="s">
        <v>239</v>
      </c>
      <c r="C58" s="20" t="s">
        <v>53</v>
      </c>
      <c r="D58" s="8">
        <f>Sheet2!$F$2</f>
        <v>0</v>
      </c>
      <c r="E58" s="4"/>
      <c r="F58" s="15">
        <v>350</v>
      </c>
      <c r="G58" s="15">
        <v>245</v>
      </c>
      <c r="H58" s="4" t="b">
        <v>0</v>
      </c>
      <c r="I58" s="5">
        <v>46176</v>
      </c>
      <c r="J58" s="4" t="b">
        <v>0</v>
      </c>
      <c r="K58" s="17">
        <v>46176</v>
      </c>
    </row>
    <row r="59" spans="1:28" ht="15.75" customHeight="1" x14ac:dyDescent="0.15">
      <c r="A59" s="13" t="s">
        <v>54</v>
      </c>
      <c r="B59" s="13" t="s">
        <v>55</v>
      </c>
      <c r="C59" s="25" t="s">
        <v>108</v>
      </c>
      <c r="D59" s="8" t="str">
        <f>CONCATENATE(Sheet2!$C$6, S59," Multiple-choice Quizzes |
| Paper Size | A4 Bond Paper |
| File Format | PDF (Typeset in LaTeX) |
| Price | ₱",IF(H59, G59, F59),"|", CHAR(10), CHAR(10),CHAR(10), L59, CHAR(10),CHAR(10),CHAR(10), "---",CHAR(10),CHAR(10), "📥 **I-fill out ang Order Form**",CHAR(10),CHAR(10), "{{&lt; iframe src=""", "https://cityofsmiles.github.io/auto-order-form/?id=", LOWER(A59), """ height=""850"" &gt;}}", CHAR(10), CHAR(10),CHAR(10),"---
🛒 **Payment Methods**
Mag-send ka lang ng ₱",Sheet1!F59," para sa **", Sheet1!M59,"**.
", Sheet2!$B$6)</f>
        <v>Tinatamad ka ba, walang time, o nahihirapang gumawa ng quizzes mo this term, KasaMath? 
✨  Kuha ka na ng Multiple Choice Quizzes with Answer Keys para:
 - Tipid ka sa oras at makapag-focus sa pagtuturo. 
 - Maganda at consistent ang formatting ng test questions at figures mo. 
 - Ready na ang answer key at di ka na magsasagot ng questions. 
 - Masanay ang students sa pagsagot ng multiple choice test. 
 - Parallel ang quiz items sa questions na lalabas sa Summative test at Term Exam. 
---
 📑 **Product Details**
| Feature | Details |
|---|---|
| Content |9 Multiple-choice Quizzes |
| Paper Size | A4 Bond Paper |
| File Format | PDF (Typeset in LaTeX) |
| Price | ₱89|
---
📑 **Topics Covered**
**Quiz 1.01.1: Drawing Polygons by Side and Angle Measurements** (35 items)
  - Lesson 1.01.1: Drawing Regular Polygons by Side and Angle Measurements
  - Lesson 1.01.2: Drawing Irregular Polygons by Side and Angle Measurements
  - Lesson 1.01.3: Constructing Triangles, Quadrilaterals, and Regular Polygons
**Quiz 1.02.1: Relationships Between Angle Pairs** (35 items)  
  - Lesson 1.02.1: Relationships Between Angle Pairs
  - Lesson 1.02.2: Classifying Regular and Irregular Polygons
  - Lesson 1.02.3: Classifying Convex and Non-Convex Polygons
**Quiz 1.03.1: Exterior and Interior Angles of Polygons** (35 items)
  - Lesson 1.03.1: Exterior and Interior Angles of Polygons
  - Lesson 1.03.2: Finding Angle Measures of Polygons
  - Lesson 1.03.3: Determining the Number of Sides of Polygons
**Quiz 1.04.1: Percentage Increase and Decrease** (35 items)
  - Lesson 1.04.1: Percentage Increase
  - Lesson 1.04.2: Percentage Decrease
  - Lesson 1.04.3: Money Problems Involving Percentages
**Quiz 1.05.1: Creating a Financial Plan** (25 items)
  - Lesson 1.05.1: Creating a Financial Plan
**Quiz 1.06.1: Understanding Rates** (30 items)
  - Lesson 1.06.1: Understanding Rates
  - Lesson 1.06.2: Solving Problems Involving Rates
**Quiz 1.07.1: Representing Rational Numbers** (35 items)
  - Lesson 1.07.1: Representing Rational Numbers
  - Lesson 1.07.2: Ordering Rational Numbers on the Number Line
**Quiz 1.08.1: Operations on Rational Numbers** (25 items)  
  - Lesson 1.08.1: Adding Rational Numbers
  - Lesson 1.08.2: Subtracting Rational Numbers
  - Lesson 1.09.1: Multiplying Rational Numbers
  - Lesson 1.09.2: Dividing Rational Numbers
**Quiz 1.10.1: Square Roots, Cube Roots, and Irrational Numbers** (35 items)
  - Lesson 1.10.1: Square Roots of Perfect Squares
  - Lesson 1.10.2: Cube Roots of Perfect Cubes
  - Lesson 1.10.3: Irrational Numbers and Their Location on the Number Line
---
📥 **I-fill out ang Order Form**
{{&lt; iframe src="https://cityofsmiles.github.io/auto-order-form/?id=g7-t1-mq" height="850" &gt;}}
---
🛒 **Payment Methods**
Mag-send ka lang ng ₱89 para sa **Multiple-choice Quizzes**.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---
Salamat sa pagsuporta sa **TeXMathPro, KasaMath**! Kung may tanong o suggestion ka, [kontakin mo lang ako](https://texmathpro.github.io/contact/).</v>
      </c>
      <c r="E59" s="4"/>
      <c r="F59" s="9">
        <v>89</v>
      </c>
      <c r="G59" s="9">
        <v>79</v>
      </c>
      <c r="H59" s="4" t="b">
        <v>0</v>
      </c>
      <c r="I59" s="5">
        <v>46176</v>
      </c>
      <c r="J59" s="4" t="b">
        <v>1</v>
      </c>
      <c r="K59" s="17">
        <v>46176</v>
      </c>
      <c r="L59" s="24" t="s">
        <v>109</v>
      </c>
      <c r="M59" s="10" t="str" cm="1">
        <f t="array" ref="M59">_xlfn.XLOOKUP(TRUE,ISNUMBER(SEARCH(Sheet2!A$23:A$26,A59)),Sheet2!B$23:B$26,"")</f>
        <v>Multiple-choice Quizzes</v>
      </c>
      <c r="N59" s="10" t="str" cm="1">
        <f t="array" ref="N59">_xlfn.XLOOKUP(TRUE,ISNUMBER(SEARCH(Sheet2!A$32:A$34,A59)),Sheet2!B$32:B$34,"")</f>
        <v>First Term</v>
      </c>
      <c r="O59" s="10" t="str" cm="1">
        <f t="array" ref="O59">_xlfn.XLOOKUP(TRUE,ISNUMBER(SEARCH(Sheet2!A$38:A$41,A59)),Sheet2!B$38:B$41,"")</f>
        <v>Grade 7</v>
      </c>
      <c r="P59" s="10" t="str" cm="1">
        <f t="array" ref="P59">_xlfn.XLOOKUP(TRUE,ISNUMBER(SEARCH(Sheet2!A$45:A$47,A59)),Sheet2!B$45:B$47,"")</f>
        <v/>
      </c>
      <c r="Q59" s="10"/>
      <c r="R59" s="10"/>
      <c r="S59" s="10">
        <v>9</v>
      </c>
      <c r="T59" s="10"/>
      <c r="U59" s="10"/>
      <c r="V59" s="10"/>
      <c r="W59" s="10"/>
      <c r="X59" s="10"/>
      <c r="Y59" s="10"/>
      <c r="Z59" s="10"/>
      <c r="AA59" s="10"/>
      <c r="AB59" s="10"/>
    </row>
    <row r="60" spans="1:28" ht="15.75" customHeight="1" x14ac:dyDescent="0.15">
      <c r="A60" s="13" t="s">
        <v>56</v>
      </c>
      <c r="B60" s="13" t="s">
        <v>57</v>
      </c>
      <c r="C60" s="12" t="s">
        <v>58</v>
      </c>
      <c r="D60" s="8" t="str">
        <f>CONCATENATE(Sheet2!$C$6, F60/25," Multiple-choice Quizzes |
| Paper Size | A4 Bond Paper |
| File Format | PDF (Typeset in LaTeX) |
| Price | ₱",IF(H60, G60, F60),"|", CHAR(10),CHAR(10),CHAR(10), "---",CHAR(10),CHAR(10), "📥 **I-fill out ang Order Form**",CHAR(10),CHAR(10), "{{&lt; iframe src=""", "https://cityofsmiles.github.io/auto-order-form/?id=", LOWER(A60), """ height=""850"" &gt;}}", CHAR(10), CHAR(10),CHAR(10), L60, CHAR(10), CHAR(10),CHAR(10), Sheet2!$B$6)</f>
        <v>Tinatamad ka ba, walang time, o nahihirapang gumawa ng quizzes mo this term, KasaMath? 
✨  Kuha ka na ng Multiple Choice Quizzes with Answer Keys para:
 - Tipid ka sa oras at makapag-focus sa pagtuturo. 
 - Maganda at consistent ang formatting ng test questions at figures mo. 
 - Ready na ang answer key at di ka na magsasagot ng questions. 
 - Masanay ang students sa pagsagot ng multiple choice test. 
 - Parallel ang quiz items sa questions na lalabas sa Summative test at Term Exam. 
---
 📑 **Product Details**
| Feature | Details |
|---|---|
| Content |6 Multiple-choice Quizzes |
| Paper Size | A4 Bond Paper |
| File Format | PDF (Typeset in LaTeX) |
| Price | ₱150|
---
📥 **I-fill out ang Order Form**
{{&lt; iframe src="https://cityofsmiles.github.io/auto-order-form/?id=g8-t1-mq" height="850" &gt;}}
---
**Quiz 1.1: Measures of Central Tendency for Ungrouped Data** (25 items)
  - Lesson 1.1.1: Mean for Ungrouped Data
  - Lesson 1.1.2: Median and Mode for Ungrouped Data
  - Lesson 1.2: Interpreting Statistical Data Using Measures of Central Tendency
**Quiz 1.2: Operations on Monomials** (30 items)
  - Lesson 1.3: Modeling Real-Life Situations with Algebraic Expressions
  - Lesson 1.4.1: Adding Simple Monomials
  - Lesson 1.4.2: Subtracting Simple Monomials
  - Lesson 1.5.1: Multiplying Simple Monomials
  - Lesson 1.5.2: Dividing Simple Monomials
  - Lesson 1.5.3: Deriving the Laws of Exponents
  - Lesson 1.6.1: Multiplying Monomials Using the Distributive Property
**Quiz 1.3: Multiplying Binomials** (30 items)
  - Lesson 1.6.2: Multiplying Binomials Using the Distributive Property
  - Lesson 1.7.1: Squaring Binomials
  - Lesson 1.7.2: Multiplying the Sum and Difference of Two Terms
**Quiz 1.4: Factoring Polynomials** (35 items)
  - Lesson 1.8.1: Factoring Polynomials with a Common Monomial Factor
  - Lesson 1.8.2: Factoring Polynomials as Difference of Two Squares
  - Lesson 1.8.3: Factoring the Sum and Difference of Two Cubes
  - Lesson 1.8.4: Factoring Perfect Square Trinomials
  - Lesson 1.8.5: Factoring Trinomials with 1 as Leading Coefficient
  - Lesson 1.8.6: Factoring by Grouping
  - Lesson 1.8.7: Factoring Quadratic Trinomials
  - Lesson 1.9: Solving Problems Involving Special Products and Factoring of Polynomials
**Quiz 1.5: Operations on Rational Algebraic Expressions** (25 items)
  - Lesson 1.10: Simplifying Rational Algebraic Expressions
  - Lesson 1.11.1: Addition of Rational Algebraic Expressions
  - Lesson 1.11.2: Subtraction of Rational Algebraic Expressions
  - Lesson 1.11.3: Multiplication of Rational Algebraic Expressions
  - Lesson 1.11.4: Division of Rational Algebraic Expressions
  - Lesson 1.12: Solving Simple Rational Algebraic Equations Using Cross-Multiplication
**Quiz 1.6: Finding Patterns in Sequences** (30 items)
  - Lesson 1.13.1: Finding Patterns in Arithmetic Sequences
  - Lesson 1.13.2: Finding Patterns in Geometric Sequences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---
Salamat sa pagsuporta sa **TeXMathPro, KasaMath**! Kung may tanong o suggestion ka, [kontakin mo lang ako](https://texmathpro.github.io/contact/).</v>
      </c>
      <c r="E60" s="4"/>
      <c r="F60" s="9">
        <v>150</v>
      </c>
      <c r="G60" s="9"/>
      <c r="H60" s="4" t="b">
        <v>0</v>
      </c>
      <c r="I60" s="5">
        <v>46176</v>
      </c>
      <c r="J60" s="4" t="b">
        <v>0</v>
      </c>
      <c r="K60" s="17">
        <v>46176</v>
      </c>
      <c r="L60" s="4" t="s">
        <v>59</v>
      </c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</row>
    <row r="61" spans="1:28" ht="15.75" customHeight="1" x14ac:dyDescent="0.15">
      <c r="A61" s="13" t="s">
        <v>60</v>
      </c>
      <c r="B61" s="13" t="s">
        <v>61</v>
      </c>
      <c r="C61" s="28" t="s">
        <v>174</v>
      </c>
      <c r="D61" s="8" t="str">
        <f>CONCATENATE(Sheet2!$C$6, S61," Multiple-choice Quizzes |
| Paper Size | A4 Bond Paper |
| File Format | PDF (Typeset in LaTeX) |
| Price | ₱",IF(H61, G61, F61),"|", CHAR(10), CHAR(10),CHAR(10), L61, CHAR(10),CHAR(10),CHAR(10), "---",CHAR(10),CHAR(10), "📥 **I-fill out ang Order Form**",CHAR(10),CHAR(10), "{{&lt; iframe src=""", "https://cityofsmiles.github.io/auto-order-form/?id=", LOWER(A61), """ height=""850"" &gt;}}", CHAR(10), CHAR(10),CHAR(10),"---
🛒 **Payment Methods**
Mag-send ka lang ng ₱",Sheet1!F61," para sa **", Sheet1!M61,"**.
", Sheet2!$B$6)</f>
        <v>Tinatamad ka ba, walang time, o nahihirapang gumawa ng quizzes mo this term, KasaMath? 
✨  Kuha ka na ng Multiple Choice Quizzes with Answer Keys para:
 - Tipid ka sa oras at makapag-focus sa pagtuturo. 
 - Maganda at consistent ang formatting ng test questions at figures mo. 
 - Ready na ang answer key at di ka na magsasagot ng questions. 
 - Masanay ang students sa pagsagot ng multiple choice test. 
 - Parallel ang quiz items sa questions na lalabas sa Summative test at Term Exam. 
---
 📑 **Product Details**
| Feature | Details |
|---|---|
| Content |10 Multiple-choice Quizzes |
| Paper Size | A4 Bond Paper |
| File Format | PDF (Typeset in LaTeX) |
| Price | ₱99|
---
📑 **Topics Covered**
**Quiz 1.01.1: Basic Undefined Terms and Geometric Notation** (35 items)
  - Lesson 1. 1.01.1: Basic Undefined Terms and Geometric Notation
  - Lesson 1. 1.01.2: Constructing Parallel and Perpendicular Lines
**Quiz 1.02.1: Angles Formed by Parallel Lines and a Transversal** (30 items)
  - Lesson 1. 1.02.1: Angles Formed by Parallel Lines and a Transversal
  - Lesson 1. 1.02.2: Solving Angle Measures with Parallel and Perpendicular Lines
**Quiz 1.03.1: Introduction to Relations and Functions** (30 items)
  - Lesson 1. 1.03.1: Introduction to Relations and Functions
  - Lesson 1. 1.03.2: Domain of a Function
  - Lesson 1. 1.03.3: Range of a Function
**Quiz 1.04.1: Representing Relationships as Functions** (30 items)
  - Lesson 1. 1.04.1: Representing Relationships as Functions
  - Lesson 1. 1.04.2: Slope of Linear Functions from Graphs
  - Lesson 1. 1.04.3: Zeros of Linear Functions from Graphs
  - Lesson 1. 1.04.4: Slope of Linear Functions from Equations
  - Lesson 1. 1.04.5: Zeros of Linear Functions from Equations
  - Lesson 1. 1.04.6: Slope of Linear Functions from Tables
  - Lesson 1. 1.04.7: Zeros of Linear Functions from Tables
**Quiz 1.05.1: Graphing Linear Functions: Domain and Range** (35 items)
  - Lesson 1. 1.05.1: Graphing Linear Functions: Domain and Range
  - Lesson 1. 1.05.2: Graphing Linear Function - Intercepts and Slope
  - Lesson 1. 1.05.3: Representing Real-Life Linear Relationships
**Quiz 1.06.1: Solving Problems Involving Linear Functions** (30 items)
  - Lesson 1. 1.06.1: Solving Problems Involving Linear Functions
  - Lesson 1. 1.06.2: Conditions that Guarantee Parallelism
  - Lesson 1. 1.06.3: Conditions that Guarantee Perpendicularity
**Quiz 1.07.1: Classifying Quadrilaterals** (35 items)
  - Lesson 1. 1.07.1: Classifying Quadrilaterals
  - Lesson 1. 1.07.2: Properties of Parallelograms
**Quiz 1.08.1: Finding Lengths in Parallelograms** (30 items)
  - Lesson 1. 1.08.1: Finding Side Lengths in Parallelograms
  - Lesson 1. 1.08.2: Finding Angle Measures in Parallelograms
  - Lesson 1. 1.08.3: Finding Perpendicular Heights in Parallelograms
  - Lesson 1. 1.08.4: Finding Diagonal Measures in Parallelograms
**Quiz 1.09.1: Problem Solving with Parallelograms** (30 items)
  - Lesson 1. 1.09.1: Problem Solving with Parallelograms and Rectangles
  - Lesson 1. 1.09.2: Problem Solving with Squares and Rhombuses
**Quiz 1.10.1: Proving Properties of Parallelograms** (25 items)
  - Lesson 1. 1.10.1: Proving Properties of Parallelograms
---
📥 **I-fill out ang Order Form**
{{&lt; iframe src="https://cityofsmiles.github.io/auto-order-form/?id=g9-t1-mq" height="850" &gt;}}
---
🛒 **Payment Methods**
Mag-send ka lang ng ₱99 para sa **Multiple-choice Quizzes**.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---
Salamat sa pagsuporta sa **TeXMathPro, KasaMath**! Kung may tanong o suggestion ka, [kontakin mo lang ako](https://texmathpro.github.io/contact/).</v>
      </c>
      <c r="E61" s="4"/>
      <c r="F61" s="9">
        <v>99</v>
      </c>
      <c r="G61" s="9">
        <v>89</v>
      </c>
      <c r="H61" s="4" t="b">
        <v>0</v>
      </c>
      <c r="I61" s="5">
        <v>46176</v>
      </c>
      <c r="J61" s="10" t="b">
        <v>1</v>
      </c>
      <c r="K61" s="17">
        <v>46176</v>
      </c>
      <c r="L61" s="24" t="s">
        <v>173</v>
      </c>
      <c r="M61" s="10" t="str" cm="1">
        <f t="array" ref="M61">_xlfn.XLOOKUP(TRUE,ISNUMBER(SEARCH(Sheet2!A$23:A$26,A61)),Sheet2!B$23:B$26,"")</f>
        <v>Multiple-choice Quizzes</v>
      </c>
      <c r="N61" s="10" t="str" cm="1">
        <f t="array" ref="N61">_xlfn.XLOOKUP(TRUE,ISNUMBER(SEARCH(Sheet2!A$32:A$34,A61)),Sheet2!B$32:B$34,"")</f>
        <v>First Term</v>
      </c>
      <c r="O61" s="10" t="str" cm="1">
        <f t="array" ref="O61">_xlfn.XLOOKUP(TRUE,ISNUMBER(SEARCH(Sheet2!A$38:A$41,A61)),Sheet2!B$38:B$41,"")</f>
        <v>Grade 9</v>
      </c>
      <c r="P61" s="10" t="str" cm="1">
        <f t="array" ref="P61">_xlfn.XLOOKUP(TRUE,ISNUMBER(SEARCH(Sheet2!A$45:A$47,A61)),Sheet2!B$45:B$47,"")</f>
        <v/>
      </c>
      <c r="Q61" s="10"/>
      <c r="R61" s="10"/>
      <c r="S61" s="10">
        <v>10</v>
      </c>
      <c r="T61" s="10"/>
      <c r="U61" s="10"/>
      <c r="V61" s="10"/>
      <c r="W61" s="10"/>
      <c r="X61" s="10"/>
      <c r="Y61" s="10"/>
      <c r="Z61" s="10"/>
      <c r="AA61" s="10"/>
      <c r="AB61" s="10"/>
    </row>
    <row r="62" spans="1:28" ht="15.75" customHeight="1" x14ac:dyDescent="0.15">
      <c r="A62" s="13" t="s">
        <v>62</v>
      </c>
      <c r="B62" s="13" t="s">
        <v>63</v>
      </c>
      <c r="C62" s="12" t="s">
        <v>64</v>
      </c>
      <c r="D62" s="8" t="str">
        <f>CONCATENATE(Sheet2!$C$6, F62/25," Multiple-choice Quizzes |
| Paper Size | A4 Bond Paper |
| File Format | PDF (Typeset in LaTeX) |
| Price | ₱",IF(H62, G62, F62),"|", CHAR(10),CHAR(10),CHAR(10), "---",CHAR(10),CHAR(10), "📥 **I-fill out ang Order Form**",CHAR(10),CHAR(10), "{{&lt; iframe src=""", "https://cityofsmiles.github.io/auto-order-form/?id=", LOWER(A62), """ height=""850"" &gt;}}", CHAR(10), CHAR(10),CHAR(10), L62, CHAR(10), CHAR(10),CHAR(10), Sheet2!$B$6)</f>
        <v>Tinatamad ka ba, walang time, o nahihirapang gumawa ng quizzes mo this term, KasaMath? 
✨  Kuha ka na ng Multiple Choice Quizzes with Answer Keys para:
 - Tipid ka sa oras at makapag-focus sa pagtuturo. 
 - Maganda at consistent ang formatting ng test questions at figures mo. 
 - Ready na ang answer key at di ka na magsasagot ng questions. 
 - Masanay ang students sa pagsagot ng multiple choice test. 
 - Parallel ang quiz items sa questions na lalabas sa Summative test at Term Exam. 
---
 📑 **Product Details**
| Feature | Details |
|---|---|
| Content |4 Multiple-choice Quizzes |
| Paper Size | A4 Bond Paper |
| File Format | PDF (Typeset in LaTeX) |
| Price | ₱100|
---
📥 **I-fill out ang Order Form**
{{&lt; iframe src="https://cityofsmiles.github.io/auto-order-form/?id=g10-t1-mq" height="850" &gt;}}
---
**Quiz 1.1: Arithmetic Sequence and Arithmetic Mean** (30 items)
  - Lesson 1.01.1: Describing and Generating Patterns in Sequences
  - Lesson 1.01.2: Finding the General Term of a Sequence
  - Lesson 1.01.3: Finding the General Term of a Sequence with Fractional and Radical Expressions
  - Lesson 1.02.1: Identifying Patterns in Arithmetic Sequences and Finding the Next Terms
  - Lesson 1.02.2: Finding the Missing Term Common Difference and Number of Terms in an Arithmetic Sequence
**Quiz 1.2: Geometric Sequence and Geometric Mean** (30 items)
  - Lesson 1.03.1: Finding the Indicated Number of Arithmetic Means Between Two Terms
  - Lesson 1.03.2: Finding the General Term of an Arithmetic Sequence
  - Lesson 1.03.3: Finding the Sum of Terms in an Arithmetic Sequence
  - Lesson 1.04.1: Identifying Patterns in Geometric Sequences and Finding the Next Terms
  - Lesson 1.04.2: Finding the Missing Term Common Ratio and Number of Terms in a Geometric Sequence
  - Lesson 1.05.1: Classifying Sequences as Arithmetic Geometric or Neither
  - Lesson 1.05.2: Differentiating Finite and Infinite Geometric Sequences
  - Lesson 1.06.1: Finding the Indicated Number of Geometric Means Between Two Terms
  - Lesson 1.06.2: Finding the General Term of a Geometric Sequence
  - Lesson 1.06.3: Finding the Sum of Terms in a Finite Geometric Sequence
  - Lesson 1.06.4: Determining Convergence or Divergence of Infinite Geometric Series and Finding Their Sum
  - Lesson 1.07.1: Solving Problems Involving Arithmetic Sequences and Series
  - Lesson 1.07.2: Solving Problems Involving Finite Geometric Sequences and Series
  - Lesson 1.07.3: Solving Problems Involving Infinite Geometric Sequences and Series
**Quiz 1.3: Dividing and Factoring Polynomials** (30 items)
  - Lesson 1.08.1: Dividing Polynomials Using Long Division
  - Lesson 1.08.2: Dividing Polynomials Using Synthetic Division
  - Lesson 1.08.3: Dividing Polynomials with Missing Terms and Finding the Divisor or Dividend Using Synthetic Division
  - Lesson 1.09.1: Finding the Remainder Using the Remainder Theorem
  - Lesson 1.09.2: Using the Factor Theorem to Determine Factors of a Polynomial
  - Lesson 1.09.3: Applying the Factor Theorem and Remainder Theorem to Solve Problems
  - Lesson 1.10.1: Finding the Factors of Polynomial Expressions of Degree 2
  - Lesson 1.10.2: Finding the Factors of Polynomial Expressions of Degree 3 and Above
**Quiz 1.4: Polynomial Equations** (30 items)
  - Lesson 1.11.1: Applying the Fundamental Theorem of Algebra to Find the Number of Roots of Polynomial Equations
  - Lesson 1.11.2: Describing and Finding the Integral Roots of Polynomial Equations Using the Integral Zero Theorem
  - Lesson 1.12.1: Determining the List of Possible Rational Roots Using the Rational Roots Theorem
  - Lesson 1.12.2: Describing and Finding the Rational Roots of Polynomial Equations of Degree Greater than 2
  - Lesson 1.12.3: Solving Polynomial Equations of Degree Greater than 2
  - Lesson 1.13.1: Solving Problems Involving Polynomials
  - Lesson 1.13.2: Solving Problems Involving Polynomial Equations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---
Salamat sa pagsuporta sa **TeXMathPro, KasaMath**! Kung may tanong o suggestion ka, [kontakin mo lang ako](https://texmathpro.github.io/contact/).</v>
      </c>
      <c r="E62" s="4"/>
      <c r="F62" s="9">
        <v>100</v>
      </c>
      <c r="G62" s="9"/>
      <c r="H62" s="4" t="b">
        <v>0</v>
      </c>
      <c r="I62" s="5">
        <v>46176</v>
      </c>
      <c r="J62" s="4" t="b">
        <v>0</v>
      </c>
      <c r="K62" s="17">
        <v>46176</v>
      </c>
      <c r="L62" s="4" t="s">
        <v>65</v>
      </c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</row>
    <row r="63" spans="1:28" ht="12.75" x14ac:dyDescent="0.15">
      <c r="C63" s="25"/>
      <c r="F63" s="19"/>
      <c r="G63" s="19"/>
    </row>
    <row r="64" spans="1:28" ht="15.75" customHeight="1" x14ac:dyDescent="0.15">
      <c r="A64" s="13" t="s">
        <v>281</v>
      </c>
      <c r="B64" s="13" t="s">
        <v>284</v>
      </c>
      <c r="C64" s="25" t="s">
        <v>285</v>
      </c>
      <c r="D64" s="8" t="str">
        <f>CONCATENATE("*Stressed ka na ba kakagawa ng ", Sheet1!N64, " PowerPoint presentations mo, ", Sheet1!O64," KasaMath? Kuha ka na ng ", Sheet1!M64,"!*
**Bakit perfect para sa’yo ang ", Sheet1!M64,_xlfn._LONGTEXT("?**
- Zero Prep Time: Open mo lang at ready ka nang magturo.
- Plug-and-Teach: Complete na ang discussion, examples, practice, at activities.
- Professional Look: Malinis, colorful, at classroom-friendly ang design.
- Student-Friendly: Visual at madaling"," sundan kahit habang nagdi-discuss ang teacher.
- More Teaching, Less Typing: Wala nang ilang oras na paggawa ng slides from scratch.
- Editable PPTX: I-customize mo para sa style at needs ng klase mo.
**Product Details**:
- Pieces: "), Sheet1!S64, " slides, one for each lesson
- Format: pptx
- Price: ₱", Sheet1!F64, "
---
## Step 1: I-fill out at i-submit ang Order Form.", "{{&lt; iframe src=""", "https://cityofsmiles.github.io/auto-order-form/?id=", LOWER(A64), """ height=""850"" &gt;}}","
## Step 2: Payment and Delivery
### Payment Methods
Mag-send ka lang ng ₱",Sheet1!F64," para sa **", Sheet1!M64,_xlfn._LONGTEXT("**.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Sheet1!S64," ",Sheet1!M64," 
- Format: PDF", Sheet2!$D$6)</f>
        <v>*Stressed ka na ba kakagawa ng Second Term PowerPoint presentations mo, Grade 7 KasaMath? Kuha ka na ng Ready-to-Teach PowerPoint Slides!*
**Bakit perfect para sa’yo ang Ready-to-Teach PowerPoint Slides?**
- Zero Prep Time: Open mo lang at ready ka nang magturo.
- Plug-and-Teach: Complete na ang discussion, examples, practice, at activities.
- Professional Look: Malinis, colorful, at classroom-friendly ang design.
- Student-Friendly: Visual at madaling sundan kahit habang nagdi-discuss ang teacher.
- More Teaching, Less Typing: Wala nang ilang oras na paggawa ng slides from scratch.
- Editable PPTX: I-customize mo para sa style at needs ng klase mo.
**Product Details**:
- Pieces: 24 slides, one for each lesson
- Format: pptx
- Price: ₱240
---
## Step 1: I-fill out at i-submit ang Order Form.{{&lt; iframe src="https://cityofsmiles.github.io/auto-order-form/?id=g7-t2-ps" height="850" &gt;}}
## Step 2: Payment and Delivery
### Payment Methods
Mag-send ka lang ng ₱240 para sa **Ready-to-Teach PowerPoint Slides**.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- 24 Ready-to-Teach PowerPoint Slides 
- Format: PDF
---
Salamat sa pagsuporta sa **TeXMathPro, KasaMath**! Kung may tanong o suggestion ka, [kontakin mo lang ako](mailto:texmathpro@gmail.com).</v>
      </c>
      <c r="E64" s="8" t="str">
        <f>CONCATENATE("*Stressed ka na ba kakagawa ng ", Sheet1!N64, " PowerPoint presentations mo, ", Sheet1!O64," KasaMath? Kuha ka na ng ", Sheet1!M64,"!*
**Bakit perfect para sa’yo ang ", Sheet1!M64,_xlfn._LONGTEXT("?**
- Zero Prep Time: Open mo lang at ready ka nang magturo.
- Plug-and-Teach: Complete na ang discussion, examples, practice, at activities.
- Professional Look: Malinis, colorful, at classroom-friendly ang design.
- Student-Friendly: Visual at madaling"," sundan kahit habang nagdi-discuss ang teacher.
- More Teaching, Less Typing: Wala nang ilang oras na paggawa ng slides from scratch.
- Editable PPTX: I-customize mo para sa style at needs ng klase mo.
- Super Tipid pa dahil Early Bird ka! 
**Product Det","ails**:
- Pieces: "), Sheet1!S64, " slides, one for each lesson
- Format: pptx
- Price: ₱", Sheet1!G64, "
---
## Step 1: I-fill out at i-submit ang Order Form.", "{{&lt; iframe src=""", "https://cityofsmiles.github.io/auto-order-form/?id=", LOWER(A64), """ height=""850"" &gt;}}","
## Step 2: Payment and Delivery
### Payment Methods
Mag-send ka lang ng ₱",Sheet1!G64," para sa **", Sheet1!M64,_xlfn._LONGTEXT("**.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Sheet1!S64," ",Sheet1!M64," 
- Format: PDF", Sheet2!$D$6)</f>
        <v>*Stressed ka na ba kakagawa ng Second Term PowerPoint presentations mo, Grade 7 KasaMath? Kuha ka na ng Ready-to-Teach PowerPoint Slides!*
**Bakit perfect para sa’yo ang Ready-to-Teach PowerPoint Slides?**
- Zero Prep Time: Open mo lang at ready ka nang magturo.
- Plug-and-Teach: Complete na ang discussion, examples, practice, at activities.
- Professional Look: Malinis, colorful, at classroom-friendly ang design.
- Student-Friendly: Visual at madaling sundan kahit habang nagdi-discuss ang teacher.
- More Teaching, Less Typing: Wala nang ilang oras na paggawa ng slides from scratch.
- Editable PPTX: I-customize mo para sa style at needs ng klase mo.
- Super Tipid pa dahil Early Bird ka! 
**Product Details**:
- Pieces: 24 slides, one for each lesson
- Format: pptx
- Price: ₱120
---
## Step 1: I-fill out at i-submit ang Order Form.{{&lt; iframe src="https://cityofsmiles.github.io/auto-order-form/?id=g7-t2-ps" height="850" &gt;}}
## Step 2: Payment and Delivery
### Payment Methods
Mag-send ka lang ng ₱120 para sa **Ready-to-Teach PowerPoint Slides**.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- 24 Ready-to-Teach PowerPoint Slides 
- Format: PDF
---
Salamat sa pagsuporta sa **TeXMathPro, KasaMath**! Kung may tanong o suggestion ka, [kontakin mo lang ako](mailto:texmathpro@gmail.com).</v>
      </c>
      <c r="F64" s="9">
        <f>S64*10</f>
        <v>240</v>
      </c>
      <c r="G64" s="9">
        <f>S64*5</f>
        <v>120</v>
      </c>
      <c r="H64" s="10" t="b">
        <v>0</v>
      </c>
      <c r="I64" s="5">
        <v>46281</v>
      </c>
      <c r="J64" s="10" t="b">
        <v>1</v>
      </c>
      <c r="K64" s="17">
        <v>46268</v>
      </c>
      <c r="L64" s="10"/>
      <c r="M64" s="10" t="str" cm="1">
        <f t="array" ref="M64">_xlfn.XLOOKUP(TRUE,ISNUMBER(SEARCH(Sheet2!A$23:A$29,A64)),Sheet2!B$23:B$29,"")</f>
        <v>Ready-to-Teach PowerPoint Slides</v>
      </c>
      <c r="N64" s="10" t="str" cm="1">
        <f t="array" ref="N64">_xlfn.XLOOKUP(TRUE,ISNUMBER(SEARCH(Sheet2!A$32:A$34,A64)),Sheet2!B$32:B$34,"")</f>
        <v>Second Term</v>
      </c>
      <c r="O64" s="10" t="str" cm="1">
        <f t="array" ref="O64">_xlfn.XLOOKUP(TRUE,ISNUMBER(SEARCH(Sheet2!A$38:A$41,A64)),Sheet2!B$38:B$41,"")</f>
        <v>Grade 7</v>
      </c>
      <c r="P64" s="10"/>
      <c r="Q64" s="10"/>
      <c r="R64" s="10"/>
      <c r="S64" s="10">
        <v>24</v>
      </c>
      <c r="T64" s="10"/>
      <c r="U64" s="10"/>
      <c r="V64" s="10"/>
      <c r="W64" s="10"/>
      <c r="X64" s="10"/>
      <c r="Y64" s="10"/>
      <c r="Z64" s="10"/>
      <c r="AA64" s="10"/>
      <c r="AB64" s="10"/>
    </row>
    <row r="65" spans="1:28" ht="15.75" customHeight="1" x14ac:dyDescent="0.15">
      <c r="A65" s="13" t="s">
        <v>286</v>
      </c>
      <c r="B65" s="13" t="s">
        <v>287</v>
      </c>
      <c r="C65" s="25" t="s">
        <v>288</v>
      </c>
      <c r="D65" s="8" t="str">
        <f>CONCATENATE("*Stressed ka na ba kakagawa ng ", Sheet1!N65, " PowerPoint presentations mo, ", Sheet1!O65," KasaMath? Kuha ka na ng ", Sheet1!M65,"!*
**Bakit perfect para sa’yo ang ", Sheet1!M65,_xlfn._LONGTEXT("?**
- Zero Prep Time: Open mo lang at ready ka nang magturo.
- Plug-and-Teach: Complete na ang discussion, examples, practice, at activities.
- Professional Look: Malinis, colorful, at classroom-friendly ang design.
- Student-Friendly: Visual at madaling"," sundan kahit habang nagdi-discuss ang teacher.
- More Teaching, Less Typing: Wala nang ilang oras na paggawa ng slides from scratch.
- Editable PPTX: I-customize mo para sa style at needs ng klase mo.
**Product Details**:
- Pieces: "), Sheet1!S65, " slides, one for each lesson
- Format: pptx
- Price: ₱", Sheet1!F65, "
---
## Step 1: I-fill out at i-submit ang Order Form.", "{{&lt; iframe src=""", "https://cityofsmiles.github.io/auto-order-form/?id=", LOWER(A65), """ height=""850"" &gt;}}","
## Step 2: Payment and Delivery
### Payment Methods
Mag-send ka lang ng ₱",Sheet1!F65," para sa **", Sheet1!M65,_xlfn._LONGTEXT("**.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Sheet1!S65," ",Sheet1!M65," 
- Format: PDF", Sheet2!$D$6)</f>
        <v>*Stressed ka na ba kakagawa ng Second Term PowerPoint presentations mo, Grade 9 KasaMath? Kuha ka na ng Ready-to-Teach PowerPoint Slides!*
**Bakit perfect para sa’yo ang Ready-to-Teach PowerPoint Slides?**
- Zero Prep Time: Open mo lang at ready ka nang magturo.
- Plug-and-Teach: Complete na ang discussion, examples, practice, at activities.
- Professional Look: Malinis, colorful, at classroom-friendly ang design.
- Student-Friendly: Visual at madaling sundan kahit habang nagdi-discuss ang teacher.
- More Teaching, Less Typing: Wala nang ilang oras na paggawa ng slides from scratch.
- Editable PPTX: I-customize mo para sa style at needs ng klase mo.
**Product Details**:
- Pieces: 21 slides, one for each lesson
- Format: pptx
- Price: ₱210
---
## Step 1: I-fill out at i-submit ang Order Form.{{&lt; iframe src="https://cityofsmiles.github.io/auto-order-form/?id=g9-t2-ps" height="850" &gt;}}
## Step 2: Payment and Delivery
### Payment Methods
Mag-send ka lang ng ₱210 para sa **Ready-to-Teach PowerPoint Slides**.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- 21 Ready-to-Teach PowerPoint Slides 
- Format: PDF
---
Salamat sa pagsuporta sa **TeXMathPro, KasaMath**! Kung may tanong o suggestion ka, [kontakin mo lang ako](mailto:texmathpro@gmail.com).</v>
      </c>
      <c r="E65" s="8" t="str">
        <f>CONCATENATE("*Stressed ka na ba kakagawa ng ", Sheet1!N65, " PowerPoint presentations mo, ", Sheet1!O65," KasaMath? Kuha ka na ng ", Sheet1!M65,"!*
**Bakit perfect para sa’yo ang ", Sheet1!M65,_xlfn._LONGTEXT("?**
- Zero Prep Time: Open mo lang at ready ka nang magturo.
- Plug-and-Teach: Complete na ang discussion, examples, practice, at activities.
- Professional Look: Malinis, colorful, at classroom-friendly ang design.
- Student-Friendly: Visual at madaling"," sundan kahit habang nagdi-discuss ang teacher.
- More Teaching, Less Typing: Wala nang ilang oras na paggawa ng slides from scratch.
- Editable PPTX: I-customize mo para sa style at needs ng klase mo.
- Super Tipid pa dahil Early Bird ka! 
**Product Det","ails**:
- Pieces: "), Sheet1!S65, " slides, one for each lesson
- Format: pptx
- Price: ₱", Sheet1!G65, "
---
## Step 1: I-fill out at i-submit ang Order Form.", "{{&lt; iframe src=""", "https://cityofsmiles.github.io/auto-order-form/?id=", LOWER(A65), """ height=""850"" &gt;}}","
## Step 2: Payment and Delivery
### Payment Methods
Mag-send ka lang ng ₱",Sheet1!G65," para sa **", Sheet1!M65,_xlfn._LONGTEXT("**.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Sheet1!S65," ",Sheet1!M65," 
- Format: PDF", Sheet2!$D$6)</f>
        <v>*Stressed ka na ba kakagawa ng Second Term PowerPoint presentations mo, Grade 9 KasaMath? Kuha ka na ng Ready-to-Teach PowerPoint Slides!*
**Bakit perfect para sa’yo ang Ready-to-Teach PowerPoint Slides?**
- Zero Prep Time: Open mo lang at ready ka nang magturo.
- Plug-and-Teach: Complete na ang discussion, examples, practice, at activities.
- Professional Look: Malinis, colorful, at classroom-friendly ang design.
- Student-Friendly: Visual at madaling sundan kahit habang nagdi-discuss ang teacher.
- More Teaching, Less Typing: Wala nang ilang oras na paggawa ng slides from scratch.
- Editable PPTX: I-customize mo para sa style at needs ng klase mo.
- Super Tipid pa dahil Early Bird ka! 
**Product Details**:
- Pieces: 21 slides, one for each lesson
- Format: pptx
- Price: ₱105
---
## Step 1: I-fill out at i-submit ang Order Form.{{&lt; iframe src="https://cityofsmiles.github.io/auto-order-form/?id=g9-t2-ps" height="850" &gt;}}
## Step 2: Payment and Delivery
### Payment Methods
Mag-send ka lang ng ₱105 para sa **Ready-to-Teach PowerPoint Slides**.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- 21 Ready-to-Teach PowerPoint Slides 
- Format: PDF
---
Salamat sa pagsuporta sa **TeXMathPro, KasaMath**! Kung may tanong o suggestion ka, [kontakin mo lang ako](mailto:texmathpro@gmail.com).</v>
      </c>
      <c r="F65" s="9">
        <f>S65*10</f>
        <v>210</v>
      </c>
      <c r="G65" s="9">
        <f>S65*5</f>
        <v>105</v>
      </c>
      <c r="H65" s="10" t="b">
        <v>0</v>
      </c>
      <c r="I65" s="5">
        <v>46281</v>
      </c>
      <c r="J65" s="10" t="b">
        <v>1</v>
      </c>
      <c r="K65" s="17">
        <v>46268</v>
      </c>
      <c r="L65" s="10"/>
      <c r="M65" s="10" t="str" cm="1">
        <f t="array" ref="M65">_xlfn.XLOOKUP(TRUE,ISNUMBER(SEARCH(Sheet2!A$23:A$29,A65)),Sheet2!B$23:B$29,"")</f>
        <v>Ready-to-Teach PowerPoint Slides</v>
      </c>
      <c r="N65" s="10" t="str" cm="1">
        <f t="array" ref="N65">_xlfn.XLOOKUP(TRUE,ISNUMBER(SEARCH(Sheet2!A$32:A$34,A65)),Sheet2!B$32:B$34,"")</f>
        <v>Second Term</v>
      </c>
      <c r="O65" s="10" t="str" cm="1">
        <f t="array" ref="O65">_xlfn.XLOOKUP(TRUE,ISNUMBER(SEARCH(Sheet2!A$38:A$41,A65)),Sheet2!B$38:B$41,"")</f>
        <v>Grade 9</v>
      </c>
      <c r="P65" s="10"/>
      <c r="Q65" s="10"/>
      <c r="R65" s="10"/>
      <c r="S65" s="10">
        <v>21</v>
      </c>
      <c r="T65" s="10"/>
      <c r="U65" s="10"/>
      <c r="V65" s="10"/>
      <c r="W65" s="10"/>
      <c r="X65" s="10"/>
      <c r="Y65" s="10"/>
      <c r="Z65" s="10"/>
      <c r="AA65" s="10"/>
      <c r="AB65" s="10"/>
    </row>
    <row r="66" spans="1:28" ht="15.75" customHeight="1" x14ac:dyDescent="0.15">
      <c r="A66" s="13" t="s">
        <v>273</v>
      </c>
      <c r="B66" s="13" t="s">
        <v>276</v>
      </c>
      <c r="C66" s="25" t="s">
        <v>274</v>
      </c>
      <c r="D66" s="8" t="str">
        <f>CONCATENATE("*Tamad ba magsulat ng ", Sheet1!N66, " lessons ang ", Sheet1!O66," students mo, KasaMath? Kuha ka na ng ", Sheet1!M66,"!*
**Bakit perfect para sa’yo ang ", Sheet1!M66,_xlfn._LONGTEXT("?**
- Zero Prep Time: Di mo kailangan magpuyat kaka-prepare ng ipapasulat mo.
- Plug-and-Play: Ready to print na bilang handouts, exam reviewers, o activity sheets.
- Publication-Quality: Malinis at maganda ang pagkaka-typeset ng Math formulas, tables, at"," symbols
- Curriculum-Aligned: Pasok sa DBOW Competencies ang contents
**Product Details**:
- Pieces: "), Sheet1!S66, " notes, one for each competency
- Dimensions: A4 bond paper
- Format: PDF
- Price: ₱", Sheet1!F66, "
---
## Step 1: I-fill out at i-submit ang Order Form.", "{{&lt; iframe src=""", "https://cityofsmiles.github.io/auto-order-form/?id=", LOWER(A66), """ height=""850"" &gt;}}","
## Step 2: Payment and Delivery
### Payment Methods
Mag-send ka lang ng ₱",Sheet1!F66," para sa **", Sheet1!M66,_xlfn._LONGTEXT("**.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Sheet1!S66," ",Sheet1!M66," 
- Format: PDF", Sheet2!$D$6)</f>
        <v>*Tamad ba magsulat ng Second Term lessons ang Grade 7 students mo, KasaMath? Kuha ka na ng Comprehensive Study Notes!*
**Bakit perfect para sa’yo ang Comprehensive Study Notes?**
- Zero Prep Time: Di mo kailangan magpuyat kaka-prepare ng ipapasulat mo.
- Plug-and-Play: Ready to print na bilang handouts, exam reviewers, o activity sheets.
- Publication-Quality: Malinis at maganda ang pagkaka-typeset ng Math formulas, tables, at symbols
- Curriculum-Aligned: Pasok sa DBOW Competencies ang contents
**Product Details**:
- Pieces: 18 notes, one for each competency
- Dimensions: A4 bond paper
- Format: PDF
- Price: ₱180
---
## Step 1: I-fill out at i-submit ang Order Form.{{&lt; iframe src="https://cityofsmiles.github.io/auto-order-form/?id=g7-t2-sn" height="850" &gt;}}
## Step 2: Payment and Delivery
### Payment Methods
Mag-send ka lang ng ₱180 para sa **Comprehensive Study Notes**.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- 18 Comprehensive Study Notes 
- Format: PDF
---
Salamat sa pagsuporta sa **TeXMathPro, KasaMath**! Kung may tanong o suggestion ka, [kontakin mo lang ako](mailto:texmathpro@gmail.com).</v>
      </c>
      <c r="E66" s="8" t="str">
        <f>CONCATENATE("*Tamad ba magsulat ng ", Sheet1!N66, " lessons ang ", Sheet1!O66," students mo, KasaMath? Kuha ka na ng ", Sheet1!M66,"!*
**Bakit perfect para sa’yo ang ", Sheet1!M66,_xlfn._LONGTEXT("?**
- Zero Prep Time: Di mo kailangan magpuyat kaka-prepare ng ipapasulat mo.
- Plug-and-Play: Ready to print na bilang handouts, exam reviewers, o activity sheets.
- Publication-Quality: Malinis at maganda ang pagkaka-typeset ng Math formulas, tables, at"," symbols
- Curriculum-Aligned: Pasok sa DBOW Competencies ang contents
- Super tipid dahil Early Bird ka
**Product Details**:
- Pieces: "), Sheet1!S66, " notes, one for each competency
- Dimensions: A4 bond paper
- Format: PDF
- Price: ₱", Sheet1!G66, "
---
## Step 1: I-fill out at i-submit ang Order Form.", "{{&lt; iframe src=""", "https://cityofsmiles.github.io/auto-order-form/?id=", LOWER(A66), """ height=""850"" &gt;}}","
## Step 2: Payment and Delivery
### Payment Methods
Mag-send ka lang ng ₱",Sheet1!G66," para sa **", Sheet1!M66,_xlfn._LONGTEXT("**.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Sheet1!S66," ",Sheet1!M66," 
- Format: PDF", Sheet2!$D$6)</f>
        <v>*Tamad ba magsulat ng Second Term lessons ang Grade 7 students mo, KasaMath? Kuha ka na ng Comprehensive Study Notes!*
**Bakit perfect para sa’yo ang Comprehensive Study Notes?**
- Zero Prep Time: Di mo kailangan magpuyat kaka-prepare ng ipapasulat mo.
- Plug-and-Play: Ready to print na bilang handouts, exam reviewers, o activity sheets.
- Publication-Quality: Malinis at maganda ang pagkaka-typeset ng Math formulas, tables, at symbols
- Curriculum-Aligned: Pasok sa DBOW Competencies ang contents
- Super tipid dahil Early Bird ka
**Product Details**:
- Pieces: 18 notes, one for each competency
- Dimensions: A4 bond paper
- Format: PDF
- Price: ₱90
---
## Step 1: I-fill out at i-submit ang Order Form.{{&lt; iframe src="https://cityofsmiles.github.io/auto-order-form/?id=g7-t2-sn" height="850" &gt;}}
## Step 2: Payment and Delivery
### Payment Methods
Mag-send ka lang ng ₱90 para sa **Comprehensive Study Notes**.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- 18 Comprehensive Study Notes 
- Format: PDF
---
Salamat sa pagsuporta sa **TeXMathPro, KasaMath**! Kung may tanong o suggestion ka, [kontakin mo lang ako](mailto:texmathpro@gmail.com).</v>
      </c>
      <c r="F66" s="9">
        <f>S66*10</f>
        <v>180</v>
      </c>
      <c r="G66" s="9">
        <f>S66*5</f>
        <v>90</v>
      </c>
      <c r="H66" s="10" t="b">
        <v>0</v>
      </c>
      <c r="I66" s="5">
        <v>46281</v>
      </c>
      <c r="J66" s="10" t="b">
        <v>1</v>
      </c>
      <c r="K66" s="17">
        <v>46268</v>
      </c>
      <c r="L66" s="10"/>
      <c r="M66" s="10" t="str" cm="1">
        <f t="array" ref="M66">_xlfn.XLOOKUP(TRUE,ISNUMBER(SEARCH(Sheet2!A$23:A$28,A66)),Sheet2!B$23:B$28,"")</f>
        <v>Comprehensive Study Notes</v>
      </c>
      <c r="N66" s="10" t="str" cm="1">
        <f t="array" ref="N66">_xlfn.XLOOKUP(TRUE,ISNUMBER(SEARCH(Sheet2!A$32:A$34,A66)),Sheet2!B$32:B$34,"")</f>
        <v>Second Term</v>
      </c>
      <c r="O66" s="10" t="str" cm="1">
        <f t="array" ref="O66">_xlfn.XLOOKUP(TRUE,ISNUMBER(SEARCH(Sheet2!A$38:A$41,A66)),Sheet2!B$38:B$41,"")</f>
        <v>Grade 7</v>
      </c>
      <c r="P66" s="10"/>
      <c r="Q66" s="10"/>
      <c r="R66" s="10"/>
      <c r="S66" s="10">
        <v>18</v>
      </c>
      <c r="T66" s="10"/>
      <c r="U66" s="10"/>
      <c r="V66" s="10"/>
      <c r="W66" s="10"/>
      <c r="X66" s="10"/>
      <c r="Y66" s="10"/>
      <c r="Z66" s="10"/>
      <c r="AA66" s="10"/>
      <c r="AB66" s="10"/>
    </row>
    <row r="67" spans="1:28" ht="15.75" customHeight="1" x14ac:dyDescent="0.15">
      <c r="A67" s="13" t="s">
        <v>278</v>
      </c>
      <c r="B67" s="13" t="s">
        <v>280</v>
      </c>
      <c r="C67" s="25" t="s">
        <v>279</v>
      </c>
      <c r="D67" s="8" t="str">
        <f>CONCATENATE("*Tamad ba magsulat ng ", Sheet1!N67, " lessons ang ", Sheet1!O67," students mo, KasaMath? Kuha ka na ng ", Sheet1!M67,"!*
**Bakit perfect para sa’yo ang ", Sheet1!M67,_xlfn._LONGTEXT("?**
- Zero Prep Time: Di mo kailangan magpuyat kaka-prepare ng ipapasulat mo.
- Plug-and-Play: Ready to print na bilang handouts, exam reviewers, o activity sheets.
- Publication-Quality: Malinis at maganda ang pagkaka-typeset ng Math formulas, tables, at"," symbols
- Curriculum-Aligned: Pasok sa DBOW Competencies ang contents
**Product Details**:
- Pieces: "), Sheet1!S67, " notes, one for each competency
- Dimensions: A4 bond paper
- Format: PDF
- Price: ₱", Sheet1!F67, "
---
## Step 1: I-fill out at i-submit ang Order Form.", "{{&lt; iframe src=""", "https://cityofsmiles.github.io/auto-order-form/?id=", LOWER(A67), """ height=""850"" &gt;}}","
## Step 2: Payment and Delivery
### Payment Methods
Mag-send ka lang ng ₱",Sheet1!F67," para sa **", Sheet1!M67,_xlfn._LONGTEXT("**.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Sheet1!S67," ",Sheet1!M67," 
- Format: PDF", Sheet2!$D$6)</f>
        <v>*Tamad ba magsulat ng Second Term lessons ang Grade 9 students mo, KasaMath? Kuha ka na ng Comprehensive Study Notes!*
**Bakit perfect para sa’yo ang Comprehensive Study Notes?**
- Zero Prep Time: Di mo kailangan magpuyat kaka-prepare ng ipapasulat mo.
- Plug-and-Play: Ready to print na bilang handouts, exam reviewers, o activity sheets.
- Publication-Quality: Malinis at maganda ang pagkaka-typeset ng Math formulas, tables, at symbols
- Curriculum-Aligned: Pasok sa DBOW Competencies ang contents
**Product Details**:
- Pieces: 16 notes, one for each competency
- Dimensions: A4 bond paper
- Format: PDF
- Price: ₱160
---
## Step 1: I-fill out at i-submit ang Order Form.{{&lt; iframe src="https://cityofsmiles.github.io/auto-order-form/?id=g9-t2-sn" height="850" &gt;}}
## Step 2: Payment and Delivery
### Payment Methods
Mag-send ka lang ng ₱160 para sa **Comprehensive Study Notes**.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- 16 Comprehensive Study Notes 
- Format: PDF
---
Salamat sa pagsuporta sa **TeXMathPro, KasaMath**! Kung may tanong o suggestion ka, [kontakin mo lang ako](mailto:texmathpro@gmail.com).</v>
      </c>
      <c r="E67" s="8" t="str">
        <f>CONCATENATE("*Tamad ba magsulat ng ", Sheet1!N67, " lessons ang ", Sheet1!O67," students mo, KasaMath? Kuha ka na ng ", Sheet1!M67,"!*
**Bakit perfect para sa’yo ang ", Sheet1!M67,_xlfn._LONGTEXT("?**
- Zero Prep Time: Di mo kailangan magpuyat kaka-prepare ng ipapasulat mo.
- Plug-and-Play: Ready to print na bilang handouts, exam reviewers, o activity sheets.
- Publication-Quality: Malinis at maganda ang pagkaka-typeset ng Math formulas, tables, at"," symbols
- Curriculum-Aligned: Pasok sa DBOW Competencies ang contents
- Super tipid dahil Early Bird ka
**Product Details**:
- Pieces: "), Sheet1!S67, " notes, one for each competency
- Dimensions: A4 bond paper
- Format: PDF
- Price: ₱", Sheet1!G67, "
---
## Step 1: I-fill out at i-submit ang Order Form.", "{{&lt; iframe src=""", "https://cityofsmiles.github.io/auto-order-form/?id=", LOWER(A67), """ height=""850"" &gt;}}","
## Step 2: Payment and Delivery
### Payment Methods
Mag-send ka lang ng ₱",Sheet1!G67," para sa **", Sheet1!M67,_xlfn._LONGTEXT("**. 
- **Landbank**: 0695077289 (Jonathan R. Bacolod)  
- **GCash**: 09128389571 (Jonathan Bacolod)  
- **Maya**: 09128389571 (Jonathan Bacolod)  
**Isend ang Screenshot ng Payment kahit saan dito:**
- Email: [texmathpro@gmail.com](mailto:texmathpro@gmai","l.com)  
- Facebook: https://m.me/jonathan.r.bacolod  
- Telegram: https://t.me/Jonathan_Bacolod  
Isesend ko ang files sa email address mo after ng payment. 
### Delivery Includes:
- "), Sheet1!S67," ",Sheet1!M67," 
- Format: PDF", Sheet2!$D$6)</f>
        <v>*Tamad ba magsulat ng Second Term lessons ang Grade 9 students mo, KasaMath? Kuha ka na ng Comprehensive Study Notes!*
**Bakit perfect para sa’yo ang Comprehensive Study Notes?**
- Zero Prep Time: Di mo kailangan magpuyat kaka-prepare ng ipapasulat mo.
- Plug-and-Play: Ready to print na bilang handouts, exam reviewers, o activity sheets.
- Publication-Quality: Malinis at maganda ang pagkaka-typeset ng Math formulas, tables, at symbols
- Curriculum-Aligned: Pasok sa DBOW Competencies ang contents
- Super tipid dahil Early Bird ka
**Product Details**:
- Pieces: 16 notes, one for each competency
- Dimensions: A4 bond paper
- Format: PDF
- Price: ₱80
---
## Step 1: I-fill out at i-submit ang Order Form.{{&lt; iframe src="https://cityofsmiles.github.io/auto-order-form/?id=g9-t2-sn" height="850" &gt;}}
## Step 2: Payment and Delivery
### Payment Methods
Mag-send ka lang ng ₱80 para sa **Comprehensive Study Notes**.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- 16 Comprehensive Study Notes 
- Format: PDF
---
Salamat sa pagsuporta sa **TeXMathPro, KasaMath**! Kung may tanong o suggestion ka, [kontakin mo lang ako](mailto:texmathpro@gmail.com).</v>
      </c>
      <c r="F67" s="9">
        <f>S67*10</f>
        <v>160</v>
      </c>
      <c r="G67" s="9">
        <f>S67*5</f>
        <v>80</v>
      </c>
      <c r="H67" s="10" t="b">
        <v>0</v>
      </c>
      <c r="I67" s="5">
        <v>46281</v>
      </c>
      <c r="J67" s="10" t="b">
        <v>1</v>
      </c>
      <c r="K67" s="17">
        <v>46268</v>
      </c>
      <c r="L67" s="10"/>
      <c r="M67" s="10" t="str" cm="1">
        <f t="array" ref="M67">_xlfn.XLOOKUP(TRUE,ISNUMBER(SEARCH(Sheet2!A$23:A$28,A67)),Sheet2!B$23:B$28,"")</f>
        <v>Comprehensive Study Notes</v>
      </c>
      <c r="N67" s="10" t="str" cm="1">
        <f t="array" ref="N67">_xlfn.XLOOKUP(TRUE,ISNUMBER(SEARCH(Sheet2!A$32:A$34,A67)),Sheet2!B$32:B$34,"")</f>
        <v>Second Term</v>
      </c>
      <c r="O67" s="10" t="str" cm="1">
        <f t="array" ref="O67">_xlfn.XLOOKUP(TRUE,ISNUMBER(SEARCH(Sheet2!A$38:A$41,A67)),Sheet2!B$38:B$41,"")</f>
        <v>Grade 9</v>
      </c>
      <c r="P67" s="10"/>
      <c r="Q67" s="10"/>
      <c r="R67" s="10"/>
      <c r="S67" s="10">
        <v>16</v>
      </c>
      <c r="T67" s="10"/>
      <c r="U67" s="10"/>
      <c r="V67" s="10"/>
      <c r="W67" s="10"/>
      <c r="X67" s="10"/>
      <c r="Y67" s="10"/>
      <c r="Z67" s="10"/>
      <c r="AA67" s="10"/>
      <c r="AB67" s="10"/>
    </row>
    <row r="68" spans="1:28" ht="15.75" customHeight="1" x14ac:dyDescent="0.15">
      <c r="A68" s="13" t="s">
        <v>263</v>
      </c>
      <c r="B68" s="13" t="s">
        <v>264</v>
      </c>
      <c r="C68" s="25" t="s">
        <v>265</v>
      </c>
      <c r="D68" s="8" t="str">
        <f>CONCATENATE("*Tinatamad ka ba, walang time, o nahihirapang gumawa ng ", Sheet1!M68, " mo para sa ", Sheet1!N68, ", ", Sheet1!O68," KasaMath? Kuha ka na ng ", Sheet1!M68,"!*
**Bakit perfect para sa’yo ang ", Sheet1!M68,_xlfn._LONGTEXT("?**
- Tipid ka sa oras dahil di mo na kailangang sagutan ang activities habang sumasagot ang mga estudyante. 
- Di na sumakit ang ulo mo sa checking ng activities dahil mga bata na ang magchecheck. 
- Iwas cheating sa mga bata dahil madali mong makikita"," kung kinokopya nila ang sagot habang nagchecheck. 
 **Product Details**:
- Pieces: "), Sheet1!S68, " keys, one for each lesson
- Dimensions: A4 bond paper
- Format: PDF, created using LaTeX
- Price: ₱", Sheet1!F68, "
---
## Step 1: I-fill out at i-submit ang Order Form.
", "{{&lt; iframe src=""", "https://cityofsmiles.github.io/auto-order-form/?id=", LOWER(A68), """ height=""850"" &gt;}}","
## Step 2: Payment and Delivery
### Payment Methods
Mag-send ka lang ng ₱",Sheet1!F68," para sa **", Sheet1!M68,_xlfn._LONGTEXT("**.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**"), Sheet1!M68,"**
  - Format: PDF, created using LaTeX", Sheet2!$D$6)</f>
        <v>*Tinatamad ka ba, walang time, o nahihirapang gumawa ng Activity Answer Keys mo para sa Second Term, Grade 7 KasaMath? Kuha ka na ng Activity Answer Keys!*
**Bakit perfect para sa’yo ang Activity Answer Keys?**
- Tipid ka sa oras dahil di mo na kailangang sagutan ang activities habang sumasagot ang mga estudyante. 
- Di na sumakit ang ulo mo sa checking ng activities dahil mga bata na ang magchecheck. 
- Iwas cheating sa mga bata dahil madali mong makikita kung kinokopya nila ang sagot habang nagchecheck. 
 **Product Details**:
- Pieces: 24 keys, one for each lesson
- Dimensions: A4 bond paper
- Format: PDF, created using LaTeX
- Price: ₱240
---
## Step 1: I-fill out at i-submit ang Order Form.
{{&lt; iframe src="https://cityofsmiles.github.io/auto-order-form/?id=g7-t2-ak" height="850" &gt;}}
## Step 2: Payment and Delivery
### Payment Methods
Mag-send ka lang ng ₱240 para sa **Activity Answer Keys**.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**Activity Answer Keys**
  - Format: PDF, created using LaTeX
---
Salamat sa pagsuporta sa **TeXMathPro, KasaMath**! Kung may tanong o suggestion ka, [kontakin mo lang ako](mailto:texmathpro@gmail.com).</v>
      </c>
      <c r="E68" s="10" t="str">
        <f>CONCATENATE("*Tinatamad ka ba, walang time, o nahihirapang gumawa ng ", Sheet1!M68, " mo para sa ", Sheet1!N68, ", ", Sheet1!O68," KasaMath? Kuha ka na ng ", Sheet1!M68,"!*
**Bakit perfect para sa’yo ang ", Sheet1!M68,_xlfn._LONGTEXT("?**
- Tipid ka sa oras dahil di mo na kailangang sagutan ang activities habang sumasagot ang mga estudyante. 
- Tipid ka rin sa pera dahil discounted (Early Bird Promo)!
- Di na sumakit ang ulo mo sa checking ng activities dahil mga bata na ang magchech","eck. 
- Iwas cheating sa mga bata dahil madali mong makikita kung kinokopya nila ang sagot habang nagchecheck. 
 **Product Details**:
- Pieces: "), Sheet1!S68, " keys, one for each lesson
- Dimensions: A4 bond paper
- Format: PDF, created using LaTeX
- Price: ₱", Sheet1!G68, "
---
## Step 1: I-fill out at i-submit ang Order Form.
", "{{&lt; iframe src=""", "https://cityofsmiles.github.io/auto-order-form/?id=", LOWER(A68), """ height=""850"" &gt;}}","
## Step 2: Payment and Delivery
### Payment Methods
Mag-send ka lang ng ₱",Sheet1!G68," para sa **", Sheet1!M68,_xlfn._LONGTEXT("**.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**"), Sheet1!M68,"**
  - Format: PDF, created using LaTeX", Sheet2!$D$6)</f>
        <v>*Tinatamad ka ba, walang time, o nahihirapang gumawa ng Activity Answer Keys mo para sa Second Term, Grade 7 KasaMath? Kuha ka na ng Activity Answer Keys!*
**Bakit perfect para sa’yo ang Activity Answer Keys?**
- Tipid ka sa oras dahil di mo na kailangang sagutan ang activities habang sumasagot ang mga estudyante. 
- Tipid ka rin sa pera dahil discounted (Early Bird Promo)!
- Di na sumakit ang ulo mo sa checking ng activities dahil mga bata na ang magchecheck. 
- Iwas cheating sa mga bata dahil madali mong makikita kung kinokopya nila ang sagot habang nagchecheck. 
 **Product Details**:
- Pieces: 24 keys, one for each lesson
- Dimensions: A4 bond paper
- Format: PDF, created using LaTeX
- Price: ₱72
---
## Step 1: I-fill out at i-submit ang Order Form.
{{&lt; iframe src="https://cityofsmiles.github.io/auto-order-form/?id=g7-t2-ak" height="850" &gt;}}
## Step 2: Payment and Delivery
### Payment Methods
Mag-send ka lang ng ₱72 para sa **Activity Answer Keys**.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**Activity Answer Keys**
  - Format: PDF, created using LaTeX
---
Salamat sa pagsuporta sa **TeXMathPro, KasaMath**! Kung may tanong o suggestion ka, [kontakin mo lang ako](mailto:texmathpro@gmail.com).</v>
      </c>
      <c r="F68" s="9">
        <f>S68*10</f>
        <v>240</v>
      </c>
      <c r="G68" s="9">
        <f>S68*3</f>
        <v>72</v>
      </c>
      <c r="H68" s="10" t="b">
        <v>0</v>
      </c>
      <c r="I68" s="5">
        <v>46281</v>
      </c>
      <c r="J68" s="10" t="b">
        <v>1</v>
      </c>
      <c r="K68" s="17">
        <v>46268</v>
      </c>
      <c r="L68" s="10"/>
      <c r="M68" s="10" t="str" cm="1">
        <f t="array" ref="M68">_xlfn.XLOOKUP(TRUE,ISNUMBER(SEARCH(Sheet2!A$23:A$27,A68)),Sheet2!B$23:B$27,"")</f>
        <v>Activity Answer Keys</v>
      </c>
      <c r="N68" s="10" t="str" cm="1">
        <f t="array" ref="N68">_xlfn.XLOOKUP(TRUE,ISNUMBER(SEARCH(Sheet2!A$32:A$34,A68)),Sheet2!B$32:B$34,"")</f>
        <v>Second Term</v>
      </c>
      <c r="O68" s="10" t="str" cm="1">
        <f t="array" ref="O68">_xlfn.XLOOKUP(TRUE,ISNUMBER(SEARCH(Sheet2!A$38:A$41,A68)),Sheet2!B$38:B$41,"")</f>
        <v>Grade 7</v>
      </c>
      <c r="P68" s="10"/>
      <c r="Q68" s="10"/>
      <c r="R68" s="10"/>
      <c r="S68" s="10">
        <v>24</v>
      </c>
      <c r="T68" s="10"/>
      <c r="U68" s="10"/>
      <c r="V68" s="10"/>
      <c r="W68" s="10"/>
      <c r="X68" s="10"/>
      <c r="Y68" s="10"/>
      <c r="Z68" s="10"/>
      <c r="AA68" s="10"/>
      <c r="AB68" s="10"/>
    </row>
    <row r="69" spans="1:28" ht="15.75" customHeight="1" x14ac:dyDescent="0.15">
      <c r="A69" s="11" t="s">
        <v>270</v>
      </c>
      <c r="B69" s="11" t="s">
        <v>271</v>
      </c>
      <c r="C69" s="25" t="s">
        <v>272</v>
      </c>
      <c r="D69" s="8" t="str">
        <f>CONCATENATE("*Tinatamad ka ba, walang time, o nahihirapang gumawa ng ", Sheet1!M69, " mo para sa ", Sheet1!N69, ", ", Sheet1!O69," KasaMath? Kuha ka na ng ", Sheet1!M69,"!*
**Bakit perfect para sa’yo ang ", Sheet1!M69,_xlfn._LONGTEXT("?**
- Tipid ka sa oras dahil di mo na kailangang sagutan ang activities habang sumasagot ang mga estudyante. 
- Di na sumakit ang ulo mo sa checking ng activities dahil mga bata na ang magchecheck. 
- Iwas cheating sa mga bata dahil madali mong makikita"," kung kinokopya nila ang sagot habang nagchecheck. 
 **Product Details**:
- Pieces: "), Sheet1!S69, " keys, one for each lesson
- Dimensions: A4 bond paper
- Format: PDF, created using LaTeX
- Price: ₱", Sheet1!F69, "
---
## Step 1: I-fill out at i-submit ang Order Form.
", "{{&lt; iframe src=""", "https://cityofsmiles.github.io/auto-order-form/?id=", LOWER(A69), """ height=""850"" &gt;}}","
## Step 2: Payment and Delivery
### Payment Methods
Mag-send ka lang ng ₱",Sheet1!F69," para sa **", Sheet1!M69,_xlfn._LONGTEXT("**.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**"), Sheet1!M69,"**
  - Format: PDF, created using LaTeX", Sheet2!$D$6)</f>
        <v>*Tinatamad ka ba, walang time, o nahihirapang gumawa ng Activity Answer Keys mo para sa Second Term, Grade 9 KasaMath? Kuha ka na ng Activity Answer Keys!*
**Bakit perfect para sa’yo ang Activity Answer Keys?**
- Tipid ka sa oras dahil di mo na kailangang sagutan ang activities habang sumasagot ang mga estudyante. 
- Di na sumakit ang ulo mo sa checking ng activities dahil mga bata na ang magchecheck. 
- Iwas cheating sa mga bata dahil madali mong makikita kung kinokopya nila ang sagot habang nagchecheck. 
 **Product Details**:
- Pieces: 20 keys, one for each lesson
- Dimensions: A4 bond paper
- Format: PDF, created using LaTeX
- Price: ₱200
---
## Step 1: I-fill out at i-submit ang Order Form.
{{&lt; iframe src="https://cityofsmiles.github.io/auto-order-form/?id=g9-t2-ak" height="850" &gt;}}
## Step 2: Payment and Delivery
### Payment Methods
Mag-send ka lang ng ₱200 para sa **Activity Answer Keys**.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**Activity Answer Keys**
  - Format: PDF, created using LaTeX
---
Salamat sa pagsuporta sa **TeXMathPro, KasaMath**! Kung may tanong o suggestion ka, [kontakin mo lang ako](mailto:texmathpro@gmail.com).</v>
      </c>
      <c r="E69" s="4" t="str">
        <f>CONCATENATE("*Tinatamad ka ba, walang time, o nahihirapang gumawa ng ", Sheet1!M69, " mo para sa ", Sheet1!N69, ", ", Sheet1!O69," KasaMath? Kuha ka na ng ", Sheet1!M69,"!*
**Bakit perfect para sa’yo ang ", Sheet1!M69,_xlfn._LONGTEXT("?**
- Tipid ka sa oras dahil di mo na kailangang sagutan ang activities habang sumasagot ang mga estudyante. 
- Tipid ka rin sa pera dahil discounted (Early Bird Promo)!
- Di na sumakit ang ulo mo sa checking ng activities dahil mga bata na ang magchech","eck. 
- Iwas cheating sa mga bata dahil madali mong makikita kung kinokopya nila ang sagot habang nagchecheck. 
 **Product Details**:
- Pieces: "), Sheet1!S69, " keys, one for each lesson
- Dimensions: A4 bond paper
- Format: PDF, created using LaTeX
- Price: ₱", Sheet1!G69, "
---
## Step 1: I-fill out at i-submit ang Order Form.
", "{{&lt; iframe src=""", "https://cityofsmiles.github.io/auto-order-form/?id=", LOWER(A69), """ height=""850"" &gt;}}","
## Step 2: Payment and Delivery
### Payment Methods
Mag-send ka lang ng ₱",Sheet1!G69," para sa **", Sheet1!M69,_xlfn._LONGTEXT("**. 
- **Landbank**: 0695077289 (Jonathan R. Bacolod)  
- **GCash**: 09128389571 (Jonathan Bacolod)  
- **Maya**: 09128389571 (Jonathan Bacolod)  
**Isend ang Screenshot ng Payment kahit saan dito:**
- Email: [texmathpro@gmail.com](mailto:texmathpro@gm","ail.com)  
- Facebook: https://m.me/jonathan.r.bacolod  
- Telegram: https://t.me/Jonathan_Bacolod  
Isesend ko ang files sa email address mo after ng payment. 
### Delivery Includes:
- **"), Sheet1!M69,"**
  - Format: PDF, created using LaTeX", Sheet2!$D$6)</f>
        <v>*Tinatamad ka ba, walang time, o nahihirapang gumawa ng Activity Answer Keys mo para sa Second Term, Grade 9 KasaMath? Kuha ka na ng Activity Answer Keys!*
**Bakit perfect para sa’yo ang Activity Answer Keys?**
- Tipid ka sa oras dahil di mo na kailangang sagutan ang activities habang sumasagot ang mga estudyante. 
- Tipid ka rin sa pera dahil discounted (Early Bird Promo)!
- Di na sumakit ang ulo mo sa checking ng activities dahil mga bata na ang magchecheck. 
- Iwas cheating sa mga bata dahil madali mong makikita kung kinokopya nila ang sagot habang nagchecheck. 
 **Product Details**:
- Pieces: 20 keys, one for each lesson
- Dimensions: A4 bond paper
- Format: PDF, created using LaTeX
- Price: ₱60
---
## Step 1: I-fill out at i-submit ang Order Form.
{{&lt; iframe src="https://cityofsmiles.github.io/auto-order-form/?id=g9-t2-ak" height="850" &gt;}}
## Step 2: Payment and Delivery
### Payment Methods
Mag-send ka lang ng ₱60 para sa **Activity Answer Keys**. 
- **Landbank**: 0695077289 (Jonathan R. Bacolod)  
- **GCash**: 09128389571 (Jonathan Bacolod)  
- **Maya**: 09128389571 (Jonathan Bacolod)  
**Isend ang Screenshot ng Payment kahit saan dito:**
- Email: [texmathpro@gmail.com](mailto:texmathpro@gmail.com)  
- Facebook: https://m.me/jonathan.r.bacolod  
- Telegram: https://t.me/Jonathan_Bacolod  
Isesend ko ang files sa email address mo after ng payment. 
### Delivery Includes:
- **Activity Answer Keys**
  - Format: PDF, created using LaTeX
---
Salamat sa pagsuporta sa **TeXMathPro, KasaMath**! Kung may tanong o suggestion ka, [kontakin mo lang ako](mailto:texmathpro@gmail.com).</v>
      </c>
      <c r="F69" s="9">
        <f>S69*10</f>
        <v>200</v>
      </c>
      <c r="G69" s="9">
        <f>S69*3</f>
        <v>60</v>
      </c>
      <c r="H69" s="10" t="b">
        <v>0</v>
      </c>
      <c r="I69" s="5">
        <v>46281</v>
      </c>
      <c r="J69" s="4" t="b">
        <v>1</v>
      </c>
      <c r="K69" s="17">
        <v>46268</v>
      </c>
      <c r="L69" s="10"/>
      <c r="M69" s="10" t="str" cm="1">
        <f t="array" ref="M69">_xlfn.XLOOKUP(TRUE,ISNUMBER(SEARCH(Sheet2!A$23:A$27,A69)),Sheet2!B$23:B$27,"")</f>
        <v>Activity Answer Keys</v>
      </c>
      <c r="N69" s="10" t="str" cm="1">
        <f t="array" ref="N69">_xlfn.XLOOKUP(TRUE,ISNUMBER(SEARCH(Sheet2!A$32:A$34,A69)),Sheet2!B$32:B$34,"")</f>
        <v>Second Term</v>
      </c>
      <c r="O69" s="10" t="str" cm="1">
        <f t="array" ref="O69">_xlfn.XLOOKUP(TRUE,ISNUMBER(SEARCH(Sheet2!A$38:A$41,A69)),Sheet2!B$38:B$41,"")</f>
        <v>Grade 9</v>
      </c>
      <c r="P69" s="10"/>
      <c r="Q69" s="10"/>
      <c r="R69" s="10"/>
      <c r="S69" s="10">
        <v>20</v>
      </c>
      <c r="T69" s="10"/>
      <c r="U69" s="10"/>
      <c r="V69" s="10"/>
      <c r="W69" s="10"/>
      <c r="X69" s="10"/>
      <c r="Y69" s="10"/>
      <c r="Z69" s="10"/>
      <c r="AA69" s="10"/>
      <c r="AB69" s="10"/>
    </row>
    <row r="70" spans="1:28" ht="15.75" customHeight="1" x14ac:dyDescent="0.15">
      <c r="A70" s="11" t="s">
        <v>66</v>
      </c>
      <c r="B70" s="13" t="s">
        <v>68</v>
      </c>
      <c r="C70" s="14" t="s">
        <v>67</v>
      </c>
      <c r="D70" s="8">
        <f>Sheet2!$E$2</f>
        <v>0</v>
      </c>
      <c r="E70" s="4">
        <f>Sheet2!$B$2</f>
        <v>0</v>
      </c>
      <c r="F70" s="15">
        <v>165</v>
      </c>
      <c r="G70" s="15">
        <v>115</v>
      </c>
      <c r="H70" s="4" t="b">
        <v>0</v>
      </c>
      <c r="I70" s="5">
        <v>46176</v>
      </c>
      <c r="J70" s="4" t="b">
        <v>0</v>
      </c>
      <c r="K70" s="17">
        <v>46268</v>
      </c>
    </row>
    <row r="71" spans="1:28" ht="15.75" customHeight="1" x14ac:dyDescent="0.15">
      <c r="A71" s="11" t="s">
        <v>66</v>
      </c>
      <c r="B71" s="13" t="s">
        <v>240</v>
      </c>
      <c r="C71" s="14" t="s">
        <v>67</v>
      </c>
      <c r="D71" s="8">
        <f>Sheet2!$F$2</f>
        <v>0</v>
      </c>
      <c r="E71" s="4">
        <f>Sheet2!$C$2</f>
        <v>0</v>
      </c>
      <c r="F71" s="15">
        <v>350</v>
      </c>
      <c r="G71" s="15">
        <v>245</v>
      </c>
      <c r="H71" s="4" t="b">
        <v>0</v>
      </c>
      <c r="I71" s="5">
        <v>46176</v>
      </c>
      <c r="J71" s="4" t="b">
        <v>0</v>
      </c>
      <c r="K71" s="17">
        <v>46176</v>
      </c>
    </row>
    <row r="72" spans="1:28" ht="15.75" customHeight="1" x14ac:dyDescent="0.15">
      <c r="A72" s="11" t="s">
        <v>66</v>
      </c>
      <c r="B72" s="13" t="s">
        <v>69</v>
      </c>
      <c r="C72" s="16" t="s">
        <v>70</v>
      </c>
      <c r="D72" s="8">
        <f>Sheet2!$D$2</f>
        <v>0</v>
      </c>
      <c r="E72" s="4">
        <f>Sheet2!$A$2</f>
        <v>0</v>
      </c>
      <c r="F72" s="9">
        <v>120</v>
      </c>
      <c r="G72" s="9">
        <v>84</v>
      </c>
      <c r="H72" s="4" t="b">
        <v>0</v>
      </c>
      <c r="I72" s="5">
        <v>46176</v>
      </c>
      <c r="J72" s="4" t="b">
        <v>0</v>
      </c>
      <c r="K72" s="17">
        <v>46176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</row>
    <row r="73" spans="1:28" ht="15.75" customHeight="1" x14ac:dyDescent="0.15">
      <c r="A73" s="11" t="s">
        <v>66</v>
      </c>
      <c r="B73" s="13" t="s">
        <v>71</v>
      </c>
      <c r="C73" s="14" t="s">
        <v>70</v>
      </c>
      <c r="D73" s="8">
        <f>Sheet2!$E$2</f>
        <v>0</v>
      </c>
      <c r="E73" s="4">
        <f>Sheet2!$B$2</f>
        <v>0</v>
      </c>
      <c r="F73" s="15">
        <v>165</v>
      </c>
      <c r="G73" s="15">
        <v>115</v>
      </c>
      <c r="H73" s="4" t="b">
        <v>0</v>
      </c>
      <c r="I73" s="5">
        <v>46176</v>
      </c>
      <c r="J73" s="4" t="b">
        <v>0</v>
      </c>
      <c r="K73" s="17">
        <v>46176</v>
      </c>
    </row>
    <row r="74" spans="1:28" ht="15.75" customHeight="1" x14ac:dyDescent="0.15">
      <c r="A74" s="11" t="s">
        <v>66</v>
      </c>
      <c r="B74" s="13" t="s">
        <v>241</v>
      </c>
      <c r="C74" s="14" t="s">
        <v>70</v>
      </c>
      <c r="D74" s="8">
        <f>Sheet2!$F$2</f>
        <v>0</v>
      </c>
      <c r="E74" s="4">
        <f>Sheet2!$C$2</f>
        <v>0</v>
      </c>
      <c r="F74" s="15">
        <v>350</v>
      </c>
      <c r="G74" s="15">
        <v>245</v>
      </c>
      <c r="H74" s="4" t="b">
        <v>0</v>
      </c>
      <c r="I74" s="5">
        <v>46176</v>
      </c>
      <c r="J74" s="4" t="b">
        <v>0</v>
      </c>
      <c r="K74" s="17">
        <v>46176</v>
      </c>
    </row>
    <row r="75" spans="1:28" ht="15.75" customHeight="1" x14ac:dyDescent="0.15">
      <c r="A75" s="11" t="s">
        <v>66</v>
      </c>
      <c r="B75" s="13" t="s">
        <v>72</v>
      </c>
      <c r="C75" s="16" t="s">
        <v>73</v>
      </c>
      <c r="D75" s="8">
        <f>Sheet2!$D$2</f>
        <v>0</v>
      </c>
      <c r="E75" s="4">
        <f>Sheet2!$A$2</f>
        <v>0</v>
      </c>
      <c r="F75" s="9">
        <v>120</v>
      </c>
      <c r="G75" s="9">
        <v>84</v>
      </c>
      <c r="H75" s="4" t="b">
        <v>0</v>
      </c>
      <c r="I75" s="5">
        <v>46176</v>
      </c>
      <c r="J75" s="4" t="b">
        <v>0</v>
      </c>
      <c r="K75" s="17">
        <v>46176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</row>
    <row r="76" spans="1:28" ht="15.75" customHeight="1" x14ac:dyDescent="0.15">
      <c r="A76" s="11" t="s">
        <v>66</v>
      </c>
      <c r="B76" s="13" t="s">
        <v>74</v>
      </c>
      <c r="C76" s="14" t="s">
        <v>73</v>
      </c>
      <c r="D76" s="8">
        <f>Sheet2!$E$2</f>
        <v>0</v>
      </c>
      <c r="E76" s="4">
        <f>Sheet2!$B$2</f>
        <v>0</v>
      </c>
      <c r="F76" s="15">
        <v>165</v>
      </c>
      <c r="G76" s="15">
        <v>115</v>
      </c>
      <c r="H76" s="4" t="b">
        <v>0</v>
      </c>
      <c r="I76" s="5">
        <v>46176</v>
      </c>
      <c r="J76" s="4" t="b">
        <v>0</v>
      </c>
      <c r="K76" s="17">
        <v>46176</v>
      </c>
    </row>
    <row r="77" spans="1:28" ht="15.75" customHeight="1" x14ac:dyDescent="0.15">
      <c r="A77" s="11" t="s">
        <v>66</v>
      </c>
      <c r="B77" s="13" t="s">
        <v>242</v>
      </c>
      <c r="C77" s="14" t="s">
        <v>73</v>
      </c>
      <c r="D77" s="8">
        <f>Sheet2!$F$2</f>
        <v>0</v>
      </c>
      <c r="E77" s="4">
        <f>Sheet2!$C$2</f>
        <v>0</v>
      </c>
      <c r="F77" s="15">
        <v>350</v>
      </c>
      <c r="G77" s="15">
        <v>245</v>
      </c>
      <c r="H77" s="4" t="b">
        <v>0</v>
      </c>
      <c r="I77" s="5">
        <v>46176</v>
      </c>
      <c r="J77" s="4" t="b">
        <v>0</v>
      </c>
      <c r="K77" s="17">
        <v>46176</v>
      </c>
    </row>
    <row r="78" spans="1:28" ht="15.75" customHeight="1" x14ac:dyDescent="0.15">
      <c r="A78" s="11" t="s">
        <v>66</v>
      </c>
      <c r="B78" s="13" t="s">
        <v>75</v>
      </c>
      <c r="C78" s="16" t="s">
        <v>76</v>
      </c>
      <c r="D78" s="8">
        <f>Sheet2!$D$2</f>
        <v>0</v>
      </c>
      <c r="E78" s="4">
        <f>Sheet2!$A$2</f>
        <v>0</v>
      </c>
      <c r="F78" s="9">
        <v>120</v>
      </c>
      <c r="G78" s="9">
        <v>84</v>
      </c>
      <c r="H78" s="4" t="b">
        <v>0</v>
      </c>
      <c r="I78" s="5">
        <v>46176</v>
      </c>
      <c r="J78" s="4" t="b">
        <v>0</v>
      </c>
      <c r="K78" s="17">
        <v>46176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</row>
    <row r="79" spans="1:28" ht="15.75" customHeight="1" x14ac:dyDescent="0.15">
      <c r="A79" s="11" t="s">
        <v>66</v>
      </c>
      <c r="B79" s="13" t="s">
        <v>77</v>
      </c>
      <c r="C79" s="14" t="s">
        <v>76</v>
      </c>
      <c r="D79" s="8">
        <f>Sheet2!$E$2</f>
        <v>0</v>
      </c>
      <c r="E79" s="4">
        <f>Sheet2!$B$2</f>
        <v>0</v>
      </c>
      <c r="F79" s="15">
        <v>165</v>
      </c>
      <c r="G79" s="15">
        <v>115</v>
      </c>
      <c r="H79" s="4" t="b">
        <v>0</v>
      </c>
      <c r="I79" s="5">
        <v>46176</v>
      </c>
      <c r="J79" s="4" t="b">
        <v>0</v>
      </c>
      <c r="K79" s="17">
        <v>46176</v>
      </c>
    </row>
    <row r="80" spans="1:28" ht="15.75" customHeight="1" x14ac:dyDescent="0.15">
      <c r="A80" s="11" t="s">
        <v>66</v>
      </c>
      <c r="B80" s="13" t="s">
        <v>243</v>
      </c>
      <c r="C80" s="14" t="s">
        <v>76</v>
      </c>
      <c r="D80" s="8">
        <f>Sheet2!$F$2</f>
        <v>0</v>
      </c>
      <c r="E80" s="4">
        <f>Sheet2!$C$2</f>
        <v>0</v>
      </c>
      <c r="F80" s="15">
        <v>350</v>
      </c>
      <c r="G80" s="15">
        <v>245</v>
      </c>
      <c r="H80" s="4" t="b">
        <v>0</v>
      </c>
      <c r="I80" s="5">
        <v>46176</v>
      </c>
      <c r="J80" s="4" t="b">
        <v>0</v>
      </c>
      <c r="K80" s="17">
        <v>46176</v>
      </c>
    </row>
    <row r="81" spans="1:28" ht="15.75" customHeight="1" x14ac:dyDescent="0.15">
      <c r="A81" s="11" t="s">
        <v>66</v>
      </c>
      <c r="B81" s="13" t="s">
        <v>227</v>
      </c>
      <c r="C81" s="16" t="s">
        <v>78</v>
      </c>
      <c r="D81" s="8">
        <f>Sheet2!$D$2</f>
        <v>0</v>
      </c>
      <c r="E81" s="4">
        <f>Sheet2!$A$2</f>
        <v>0</v>
      </c>
      <c r="F81" s="9">
        <v>120</v>
      </c>
      <c r="G81" s="9">
        <v>84</v>
      </c>
      <c r="H81" s="4" t="b">
        <v>0</v>
      </c>
      <c r="I81" s="5">
        <v>46176</v>
      </c>
      <c r="J81" s="4" t="b">
        <v>0</v>
      </c>
      <c r="K81" s="17">
        <v>46176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</row>
    <row r="82" spans="1:28" ht="15.75" customHeight="1" x14ac:dyDescent="0.15">
      <c r="A82" s="11" t="s">
        <v>66</v>
      </c>
      <c r="B82" s="13" t="s">
        <v>228</v>
      </c>
      <c r="C82" s="14" t="s">
        <v>78</v>
      </c>
      <c r="D82" s="8">
        <f>Sheet2!$E$2</f>
        <v>0</v>
      </c>
      <c r="E82" s="4">
        <f>Sheet2!$B$2</f>
        <v>0</v>
      </c>
      <c r="F82" s="15">
        <v>165</v>
      </c>
      <c r="G82" s="15">
        <v>115</v>
      </c>
      <c r="H82" s="4" t="b">
        <v>0</v>
      </c>
      <c r="I82" s="5">
        <v>46176</v>
      </c>
      <c r="J82" s="4" t="b">
        <v>0</v>
      </c>
      <c r="K82" s="17">
        <v>46176</v>
      </c>
    </row>
    <row r="83" spans="1:28" ht="15.75" customHeight="1" x14ac:dyDescent="0.15">
      <c r="A83" s="11" t="s">
        <v>66</v>
      </c>
      <c r="B83" s="13" t="s">
        <v>244</v>
      </c>
      <c r="C83" s="14" t="s">
        <v>78</v>
      </c>
      <c r="D83" s="8">
        <f>Sheet2!$F$2</f>
        <v>0</v>
      </c>
      <c r="E83" s="4">
        <f>Sheet2!$C$2</f>
        <v>0</v>
      </c>
      <c r="F83" s="15">
        <v>350</v>
      </c>
      <c r="G83" s="15">
        <v>245</v>
      </c>
      <c r="H83" s="4" t="b">
        <v>0</v>
      </c>
      <c r="I83" s="5">
        <v>46176</v>
      </c>
      <c r="J83" s="4" t="b">
        <v>0</v>
      </c>
      <c r="K83" s="17">
        <v>46176</v>
      </c>
    </row>
    <row r="84" spans="1:28" ht="15.75" customHeight="1" x14ac:dyDescent="0.15">
      <c r="A84" s="13" t="s">
        <v>138</v>
      </c>
      <c r="B84" s="13" t="s">
        <v>229</v>
      </c>
      <c r="C84" s="16" t="s">
        <v>79</v>
      </c>
      <c r="D84" s="8">
        <f>Sheet2!$D$2</f>
        <v>0</v>
      </c>
      <c r="E84" s="4">
        <f>Sheet2!$A$2</f>
        <v>0</v>
      </c>
      <c r="F84" s="9">
        <v>120</v>
      </c>
      <c r="G84" s="9">
        <v>84</v>
      </c>
      <c r="H84" s="4" t="b">
        <v>0</v>
      </c>
      <c r="I84" s="5">
        <v>46176</v>
      </c>
      <c r="J84" s="4" t="b">
        <v>0</v>
      </c>
      <c r="K84" s="17">
        <v>46176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</row>
    <row r="85" spans="1:28" ht="15.75" customHeight="1" x14ac:dyDescent="0.15">
      <c r="A85" s="13" t="s">
        <v>139</v>
      </c>
      <c r="B85" s="13" t="s">
        <v>230</v>
      </c>
      <c r="C85" s="14" t="s">
        <v>79</v>
      </c>
      <c r="D85" s="8">
        <f>Sheet2!$E$2</f>
        <v>0</v>
      </c>
      <c r="E85" s="4">
        <f>Sheet2!$B$2</f>
        <v>0</v>
      </c>
      <c r="F85" s="15">
        <v>165</v>
      </c>
      <c r="G85" s="15">
        <v>115</v>
      </c>
      <c r="H85" s="4" t="b">
        <v>0</v>
      </c>
      <c r="I85" s="5">
        <v>46176</v>
      </c>
      <c r="J85" s="4" t="b">
        <v>0</v>
      </c>
      <c r="K85" s="17">
        <v>46176</v>
      </c>
    </row>
    <row r="86" spans="1:28" ht="15.75" customHeight="1" x14ac:dyDescent="0.15">
      <c r="A86" s="13" t="s">
        <v>193</v>
      </c>
      <c r="B86" s="13" t="s">
        <v>245</v>
      </c>
      <c r="C86" s="14" t="s">
        <v>79</v>
      </c>
      <c r="D86" s="8">
        <f>Sheet2!$F$2</f>
        <v>0</v>
      </c>
      <c r="E86" s="4">
        <f>Sheet2!$C$2</f>
        <v>0</v>
      </c>
      <c r="F86" s="15">
        <v>350</v>
      </c>
      <c r="G86" s="15">
        <v>245</v>
      </c>
      <c r="H86" s="4" t="b">
        <v>0</v>
      </c>
      <c r="I86" s="5">
        <v>46176</v>
      </c>
      <c r="J86" s="4" t="b">
        <v>0</v>
      </c>
      <c r="K86" s="17">
        <v>46176</v>
      </c>
    </row>
    <row r="87" spans="1:28" ht="15.75" customHeight="1" x14ac:dyDescent="0.15">
      <c r="A87" s="13" t="s">
        <v>140</v>
      </c>
      <c r="B87" s="13" t="s">
        <v>231</v>
      </c>
      <c r="C87" s="16" t="s">
        <v>80</v>
      </c>
      <c r="D87" s="8">
        <f>Sheet2!$D$2</f>
        <v>0</v>
      </c>
      <c r="E87" s="4">
        <f>Sheet2!$A$2</f>
        <v>0</v>
      </c>
      <c r="F87" s="9">
        <v>120</v>
      </c>
      <c r="G87" s="9">
        <v>84</v>
      </c>
      <c r="H87" s="4" t="b">
        <v>0</v>
      </c>
      <c r="I87" s="5">
        <v>46176</v>
      </c>
      <c r="J87" s="4" t="b">
        <v>0</v>
      </c>
      <c r="K87" s="17">
        <v>46176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</row>
    <row r="88" spans="1:28" ht="15.75" customHeight="1" x14ac:dyDescent="0.15">
      <c r="A88" s="13" t="s">
        <v>141</v>
      </c>
      <c r="B88" s="13" t="s">
        <v>232</v>
      </c>
      <c r="C88" s="14" t="s">
        <v>80</v>
      </c>
      <c r="D88" s="8">
        <f>Sheet2!$E$2</f>
        <v>0</v>
      </c>
      <c r="E88" s="4">
        <f>Sheet2!$B$2</f>
        <v>0</v>
      </c>
      <c r="F88" s="15">
        <v>165</v>
      </c>
      <c r="G88" s="15">
        <v>115</v>
      </c>
      <c r="H88" s="4" t="b">
        <v>0</v>
      </c>
      <c r="I88" s="5">
        <v>46176</v>
      </c>
      <c r="J88" s="4" t="b">
        <v>0</v>
      </c>
      <c r="K88" s="17">
        <v>46176</v>
      </c>
    </row>
    <row r="89" spans="1:28" ht="15.75" customHeight="1" x14ac:dyDescent="0.15">
      <c r="A89" s="13" t="s">
        <v>194</v>
      </c>
      <c r="B89" s="13" t="s">
        <v>246</v>
      </c>
      <c r="C89" s="14" t="s">
        <v>80</v>
      </c>
      <c r="D89" s="8">
        <f>Sheet2!$F$2</f>
        <v>0</v>
      </c>
      <c r="E89" s="4">
        <f>Sheet2!$C$2</f>
        <v>0</v>
      </c>
      <c r="F89" s="15">
        <v>350</v>
      </c>
      <c r="G89" s="15">
        <v>245</v>
      </c>
      <c r="H89" s="4" t="b">
        <v>0</v>
      </c>
      <c r="I89" s="5">
        <v>46176</v>
      </c>
      <c r="J89" s="4" t="b">
        <v>0</v>
      </c>
      <c r="K89" s="17">
        <v>46176</v>
      </c>
    </row>
    <row r="90" spans="1:28" ht="15.75" customHeight="1" x14ac:dyDescent="0.15">
      <c r="A90" s="13" t="s">
        <v>142</v>
      </c>
      <c r="B90" s="13" t="s">
        <v>233</v>
      </c>
      <c r="C90" s="18" t="s">
        <v>81</v>
      </c>
      <c r="D90" s="8">
        <f>Sheet2!$D$2</f>
        <v>0</v>
      </c>
      <c r="E90" s="4">
        <f>Sheet2!$A$2</f>
        <v>0</v>
      </c>
      <c r="F90" s="9">
        <v>120</v>
      </c>
      <c r="G90" s="9">
        <v>84</v>
      </c>
      <c r="H90" s="4" t="b">
        <v>0</v>
      </c>
      <c r="I90" s="5">
        <v>46176</v>
      </c>
      <c r="J90" s="4" t="b">
        <v>0</v>
      </c>
      <c r="K90" s="17">
        <v>46176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</row>
    <row r="91" spans="1:28" ht="15.75" customHeight="1" x14ac:dyDescent="0.15">
      <c r="A91" s="13" t="s">
        <v>143</v>
      </c>
      <c r="B91" s="13" t="s">
        <v>234</v>
      </c>
      <c r="C91" s="18" t="s">
        <v>81</v>
      </c>
      <c r="D91" s="8">
        <f>Sheet2!$E$2</f>
        <v>0</v>
      </c>
      <c r="E91" s="4">
        <f>Sheet2!$B$2</f>
        <v>0</v>
      </c>
      <c r="F91" s="15">
        <v>165</v>
      </c>
      <c r="G91" s="15">
        <v>115</v>
      </c>
      <c r="H91" s="4" t="b">
        <v>0</v>
      </c>
      <c r="I91" s="5">
        <v>46176</v>
      </c>
      <c r="J91" s="4" t="b">
        <v>0</v>
      </c>
      <c r="K91" s="17">
        <v>46176</v>
      </c>
    </row>
    <row r="92" spans="1:28" ht="15.75" customHeight="1" x14ac:dyDescent="0.15">
      <c r="A92" s="13" t="s">
        <v>195</v>
      </c>
      <c r="B92" s="13" t="s">
        <v>247</v>
      </c>
      <c r="C92" s="18" t="s">
        <v>81</v>
      </c>
      <c r="D92" s="8">
        <f>Sheet2!$F$2</f>
        <v>0</v>
      </c>
      <c r="E92" s="4">
        <f>Sheet2!$C$2</f>
        <v>0</v>
      </c>
      <c r="F92" s="15">
        <v>350</v>
      </c>
      <c r="G92" s="15">
        <v>245</v>
      </c>
      <c r="H92" s="4" t="b">
        <v>0</v>
      </c>
      <c r="I92" s="5">
        <v>46176</v>
      </c>
      <c r="J92" s="4" t="b">
        <v>0</v>
      </c>
      <c r="K92" s="17">
        <v>46176</v>
      </c>
    </row>
    <row r="93" spans="1:28" ht="12.75" x14ac:dyDescent="0.15">
      <c r="F93" s="19"/>
      <c r="G93" s="19"/>
    </row>
    <row r="94" spans="1:28" ht="12.75" x14ac:dyDescent="0.15">
      <c r="F94" s="19"/>
      <c r="G94" s="19"/>
    </row>
    <row r="95" spans="1:28" ht="12.75" x14ac:dyDescent="0.15">
      <c r="F95" s="19"/>
      <c r="G95" s="19"/>
    </row>
    <row r="96" spans="1:28" ht="12.75" x14ac:dyDescent="0.15">
      <c r="F96" s="19"/>
      <c r="G96" s="19"/>
    </row>
    <row r="97" spans="6:7" ht="12.75" x14ac:dyDescent="0.15">
      <c r="F97" s="19"/>
      <c r="G97" s="19"/>
    </row>
    <row r="98" spans="6:7" ht="12.75" x14ac:dyDescent="0.15">
      <c r="F98" s="19"/>
      <c r="G98" s="19"/>
    </row>
    <row r="99" spans="6:7" ht="12.75" x14ac:dyDescent="0.15">
      <c r="F99" s="19"/>
      <c r="G99" s="19"/>
    </row>
    <row r="100" spans="6:7" ht="12.75" x14ac:dyDescent="0.15">
      <c r="F100" s="19"/>
      <c r="G100" s="19"/>
    </row>
    <row r="101" spans="6:7" ht="12.75" x14ac:dyDescent="0.15">
      <c r="F101" s="19"/>
      <c r="G101" s="19"/>
    </row>
    <row r="102" spans="6:7" ht="12.75" x14ac:dyDescent="0.15">
      <c r="F102" s="19"/>
      <c r="G102" s="19"/>
    </row>
    <row r="103" spans="6:7" ht="12.75" x14ac:dyDescent="0.15">
      <c r="F103" s="19"/>
      <c r="G103" s="19"/>
    </row>
    <row r="104" spans="6:7" ht="12.75" x14ac:dyDescent="0.15">
      <c r="F104" s="19"/>
      <c r="G104" s="19"/>
    </row>
    <row r="105" spans="6:7" ht="12.75" x14ac:dyDescent="0.15">
      <c r="F105" s="19"/>
      <c r="G105" s="19"/>
    </row>
    <row r="106" spans="6:7" ht="12.75" x14ac:dyDescent="0.15">
      <c r="F106" s="19"/>
      <c r="G106" s="19"/>
    </row>
    <row r="107" spans="6:7" ht="12.75" x14ac:dyDescent="0.15">
      <c r="F107" s="19"/>
      <c r="G107" s="19"/>
    </row>
    <row r="108" spans="6:7" ht="12.75" x14ac:dyDescent="0.15">
      <c r="F108" s="19"/>
      <c r="G108" s="19"/>
    </row>
    <row r="109" spans="6:7" ht="12.75" x14ac:dyDescent="0.15">
      <c r="F109" s="19"/>
      <c r="G109" s="19"/>
    </row>
    <row r="110" spans="6:7" ht="12.75" x14ac:dyDescent="0.15">
      <c r="F110" s="19"/>
      <c r="G110" s="19"/>
    </row>
    <row r="111" spans="6:7" ht="12.75" x14ac:dyDescent="0.15">
      <c r="F111" s="19"/>
      <c r="G111" s="19"/>
    </row>
    <row r="112" spans="6:7" ht="12.75" x14ac:dyDescent="0.15">
      <c r="F112" s="19"/>
      <c r="G112" s="19"/>
    </row>
    <row r="113" spans="6:7" ht="12.75" x14ac:dyDescent="0.15">
      <c r="F113" s="19"/>
      <c r="G113" s="19"/>
    </row>
    <row r="114" spans="6:7" ht="12.75" x14ac:dyDescent="0.15">
      <c r="F114" s="19"/>
      <c r="G114" s="19"/>
    </row>
    <row r="115" spans="6:7" ht="12.75" x14ac:dyDescent="0.15">
      <c r="F115" s="19"/>
      <c r="G115" s="19"/>
    </row>
    <row r="116" spans="6:7" ht="12.75" x14ac:dyDescent="0.15">
      <c r="F116" s="19"/>
      <c r="G116" s="19"/>
    </row>
    <row r="117" spans="6:7" ht="12.75" x14ac:dyDescent="0.15">
      <c r="F117" s="19"/>
      <c r="G117" s="19"/>
    </row>
    <row r="118" spans="6:7" ht="12.75" x14ac:dyDescent="0.15">
      <c r="F118" s="19"/>
      <c r="G118" s="19"/>
    </row>
    <row r="119" spans="6:7" ht="12.75" x14ac:dyDescent="0.15">
      <c r="F119" s="19"/>
      <c r="G119" s="19"/>
    </row>
    <row r="120" spans="6:7" ht="12.75" x14ac:dyDescent="0.15">
      <c r="F120" s="19"/>
      <c r="G120" s="19"/>
    </row>
    <row r="121" spans="6:7" ht="12.75" x14ac:dyDescent="0.15">
      <c r="F121" s="19"/>
      <c r="G121" s="19"/>
    </row>
    <row r="122" spans="6:7" ht="12.75" x14ac:dyDescent="0.15">
      <c r="F122" s="19"/>
      <c r="G122" s="19"/>
    </row>
    <row r="123" spans="6:7" ht="12.75" x14ac:dyDescent="0.15">
      <c r="F123" s="19"/>
      <c r="G123" s="19"/>
    </row>
    <row r="124" spans="6:7" ht="12.75" x14ac:dyDescent="0.15">
      <c r="F124" s="19"/>
      <c r="G124" s="19"/>
    </row>
    <row r="125" spans="6:7" ht="12.75" x14ac:dyDescent="0.15">
      <c r="F125" s="19"/>
      <c r="G125" s="19"/>
    </row>
    <row r="126" spans="6:7" ht="12.75" x14ac:dyDescent="0.15">
      <c r="F126" s="19"/>
      <c r="G126" s="19"/>
    </row>
    <row r="127" spans="6:7" ht="12.75" x14ac:dyDescent="0.15">
      <c r="F127" s="19"/>
      <c r="G127" s="19"/>
    </row>
    <row r="128" spans="6:7" ht="12.75" x14ac:dyDescent="0.15">
      <c r="F128" s="19"/>
      <c r="G128" s="19"/>
    </row>
    <row r="129" spans="6:7" ht="12.75" x14ac:dyDescent="0.15">
      <c r="F129" s="19"/>
      <c r="G129" s="19"/>
    </row>
    <row r="130" spans="6:7" ht="12.75" x14ac:dyDescent="0.15">
      <c r="F130" s="19"/>
      <c r="G130" s="19"/>
    </row>
    <row r="131" spans="6:7" ht="12.75" x14ac:dyDescent="0.15">
      <c r="F131" s="19"/>
      <c r="G131" s="19"/>
    </row>
    <row r="132" spans="6:7" ht="12.75" x14ac:dyDescent="0.15">
      <c r="F132" s="19"/>
      <c r="G132" s="19"/>
    </row>
    <row r="133" spans="6:7" ht="12.75" x14ac:dyDescent="0.15">
      <c r="F133" s="19"/>
      <c r="G133" s="19"/>
    </row>
    <row r="134" spans="6:7" ht="12.75" x14ac:dyDescent="0.15">
      <c r="F134" s="19"/>
      <c r="G134" s="19"/>
    </row>
    <row r="135" spans="6:7" ht="12.75" x14ac:dyDescent="0.15">
      <c r="F135" s="19"/>
      <c r="G135" s="19"/>
    </row>
    <row r="136" spans="6:7" ht="12.75" x14ac:dyDescent="0.15">
      <c r="F136" s="19"/>
      <c r="G136" s="19"/>
    </row>
    <row r="137" spans="6:7" ht="12.75" x14ac:dyDescent="0.15">
      <c r="F137" s="19"/>
      <c r="G137" s="19"/>
    </row>
    <row r="138" spans="6:7" ht="12.75" x14ac:dyDescent="0.15">
      <c r="F138" s="19"/>
      <c r="G138" s="19"/>
    </row>
    <row r="139" spans="6:7" ht="12.75" x14ac:dyDescent="0.15">
      <c r="F139" s="19"/>
      <c r="G139" s="19"/>
    </row>
    <row r="140" spans="6:7" ht="12.75" x14ac:dyDescent="0.15">
      <c r="F140" s="19"/>
      <c r="G140" s="19"/>
    </row>
    <row r="141" spans="6:7" ht="12.75" x14ac:dyDescent="0.15">
      <c r="F141" s="19"/>
      <c r="G141" s="19"/>
    </row>
    <row r="142" spans="6:7" ht="12.75" x14ac:dyDescent="0.15">
      <c r="F142" s="19"/>
      <c r="G142" s="19"/>
    </row>
    <row r="143" spans="6:7" ht="12.75" x14ac:dyDescent="0.15">
      <c r="F143" s="19"/>
      <c r="G143" s="19"/>
    </row>
    <row r="144" spans="6:7" ht="12.75" x14ac:dyDescent="0.15">
      <c r="F144" s="19"/>
      <c r="G144" s="19"/>
    </row>
    <row r="145" spans="6:7" ht="12.75" x14ac:dyDescent="0.15">
      <c r="F145" s="19"/>
      <c r="G145" s="19"/>
    </row>
    <row r="146" spans="6:7" ht="12.75" x14ac:dyDescent="0.15">
      <c r="F146" s="19"/>
      <c r="G146" s="19"/>
    </row>
    <row r="147" spans="6:7" ht="12.75" x14ac:dyDescent="0.15">
      <c r="F147" s="19"/>
      <c r="G147" s="19"/>
    </row>
    <row r="148" spans="6:7" ht="12.75" x14ac:dyDescent="0.15">
      <c r="F148" s="19"/>
      <c r="G148" s="19"/>
    </row>
    <row r="149" spans="6:7" ht="12.75" x14ac:dyDescent="0.15">
      <c r="F149" s="19"/>
      <c r="G149" s="19"/>
    </row>
    <row r="150" spans="6:7" ht="12.75" x14ac:dyDescent="0.15">
      <c r="F150" s="19"/>
      <c r="G150" s="19"/>
    </row>
    <row r="151" spans="6:7" ht="12.75" x14ac:dyDescent="0.15">
      <c r="F151" s="19"/>
      <c r="G151" s="19"/>
    </row>
    <row r="152" spans="6:7" ht="12.75" x14ac:dyDescent="0.15">
      <c r="F152" s="19"/>
      <c r="G152" s="19"/>
    </row>
    <row r="153" spans="6:7" ht="12.75" x14ac:dyDescent="0.15">
      <c r="F153" s="19"/>
      <c r="G153" s="19"/>
    </row>
    <row r="154" spans="6:7" ht="12.75" x14ac:dyDescent="0.15">
      <c r="F154" s="19"/>
      <c r="G154" s="19"/>
    </row>
    <row r="155" spans="6:7" ht="12.75" x14ac:dyDescent="0.15">
      <c r="F155" s="19"/>
      <c r="G155" s="19"/>
    </row>
    <row r="156" spans="6:7" ht="12.75" x14ac:dyDescent="0.15">
      <c r="F156" s="19"/>
      <c r="G156" s="19"/>
    </row>
    <row r="157" spans="6:7" ht="12.75" x14ac:dyDescent="0.15">
      <c r="F157" s="19"/>
      <c r="G157" s="19"/>
    </row>
    <row r="158" spans="6:7" ht="12.75" x14ac:dyDescent="0.15">
      <c r="F158" s="19"/>
      <c r="G158" s="19"/>
    </row>
    <row r="159" spans="6:7" ht="12.75" x14ac:dyDescent="0.15">
      <c r="F159" s="19"/>
      <c r="G159" s="19"/>
    </row>
    <row r="160" spans="6:7" ht="12.75" x14ac:dyDescent="0.15">
      <c r="F160" s="19"/>
      <c r="G160" s="19"/>
    </row>
    <row r="161" spans="6:7" ht="12.75" x14ac:dyDescent="0.15">
      <c r="F161" s="19"/>
      <c r="G161" s="19"/>
    </row>
    <row r="162" spans="6:7" ht="12.75" x14ac:dyDescent="0.15">
      <c r="F162" s="19"/>
      <c r="G162" s="19"/>
    </row>
    <row r="163" spans="6:7" ht="12.75" x14ac:dyDescent="0.15">
      <c r="F163" s="19"/>
      <c r="G163" s="19"/>
    </row>
    <row r="164" spans="6:7" ht="12.75" x14ac:dyDescent="0.15">
      <c r="F164" s="19"/>
      <c r="G164" s="19"/>
    </row>
    <row r="165" spans="6:7" ht="12.75" x14ac:dyDescent="0.15">
      <c r="F165" s="19"/>
      <c r="G165" s="19"/>
    </row>
    <row r="166" spans="6:7" ht="12.75" x14ac:dyDescent="0.15">
      <c r="F166" s="19"/>
      <c r="G166" s="19"/>
    </row>
    <row r="167" spans="6:7" ht="12.75" x14ac:dyDescent="0.15">
      <c r="F167" s="19"/>
      <c r="G167" s="19"/>
    </row>
    <row r="168" spans="6:7" ht="12.75" x14ac:dyDescent="0.15">
      <c r="F168" s="19"/>
      <c r="G168" s="19"/>
    </row>
    <row r="169" spans="6:7" ht="12.75" x14ac:dyDescent="0.15">
      <c r="F169" s="19"/>
      <c r="G169" s="19"/>
    </row>
    <row r="170" spans="6:7" ht="12.75" x14ac:dyDescent="0.15">
      <c r="F170" s="19"/>
      <c r="G170" s="19"/>
    </row>
    <row r="171" spans="6:7" ht="12.75" x14ac:dyDescent="0.15">
      <c r="F171" s="19"/>
      <c r="G171" s="19"/>
    </row>
    <row r="172" spans="6:7" ht="12.75" x14ac:dyDescent="0.15">
      <c r="F172" s="19"/>
      <c r="G172" s="19"/>
    </row>
    <row r="173" spans="6:7" ht="12.75" x14ac:dyDescent="0.15">
      <c r="F173" s="19"/>
      <c r="G173" s="19"/>
    </row>
    <row r="174" spans="6:7" ht="12.75" x14ac:dyDescent="0.15">
      <c r="F174" s="19"/>
      <c r="G174" s="19"/>
    </row>
    <row r="175" spans="6:7" ht="12.75" x14ac:dyDescent="0.15">
      <c r="F175" s="19"/>
      <c r="G175" s="19"/>
    </row>
    <row r="176" spans="6:7" ht="12.75" x14ac:dyDescent="0.15">
      <c r="F176" s="19"/>
      <c r="G176" s="19"/>
    </row>
    <row r="177" spans="6:7" ht="12.75" x14ac:dyDescent="0.15">
      <c r="F177" s="19"/>
      <c r="G177" s="19"/>
    </row>
    <row r="178" spans="6:7" ht="12.75" x14ac:dyDescent="0.15">
      <c r="F178" s="19"/>
      <c r="G178" s="19"/>
    </row>
    <row r="179" spans="6:7" ht="12.75" x14ac:dyDescent="0.15">
      <c r="F179" s="19"/>
      <c r="G179" s="19"/>
    </row>
    <row r="180" spans="6:7" ht="12.75" x14ac:dyDescent="0.15">
      <c r="F180" s="19"/>
      <c r="G180" s="19"/>
    </row>
    <row r="181" spans="6:7" ht="12.75" x14ac:dyDescent="0.15">
      <c r="F181" s="19"/>
      <c r="G181" s="19"/>
    </row>
    <row r="182" spans="6:7" ht="12.75" x14ac:dyDescent="0.15">
      <c r="F182" s="19"/>
      <c r="G182" s="19"/>
    </row>
    <row r="183" spans="6:7" ht="12.75" x14ac:dyDescent="0.15">
      <c r="F183" s="19"/>
      <c r="G183" s="19"/>
    </row>
    <row r="184" spans="6:7" ht="12.75" x14ac:dyDescent="0.15">
      <c r="F184" s="19"/>
      <c r="G184" s="19"/>
    </row>
    <row r="185" spans="6:7" ht="12.75" x14ac:dyDescent="0.15">
      <c r="F185" s="19"/>
      <c r="G185" s="19"/>
    </row>
    <row r="186" spans="6:7" ht="12.75" x14ac:dyDescent="0.15">
      <c r="F186" s="19"/>
      <c r="G186" s="19"/>
    </row>
    <row r="187" spans="6:7" ht="12.75" x14ac:dyDescent="0.15">
      <c r="F187" s="19"/>
      <c r="G187" s="19"/>
    </row>
    <row r="188" spans="6:7" ht="12.75" x14ac:dyDescent="0.15">
      <c r="F188" s="19"/>
      <c r="G188" s="19"/>
    </row>
    <row r="189" spans="6:7" ht="12.75" x14ac:dyDescent="0.15">
      <c r="F189" s="19"/>
      <c r="G189" s="19"/>
    </row>
    <row r="190" spans="6:7" ht="12.75" x14ac:dyDescent="0.15">
      <c r="F190" s="19"/>
      <c r="G190" s="19"/>
    </row>
    <row r="191" spans="6:7" ht="12.75" x14ac:dyDescent="0.15">
      <c r="F191" s="19"/>
      <c r="G191" s="19"/>
    </row>
    <row r="192" spans="6:7" ht="12.75" x14ac:dyDescent="0.15">
      <c r="F192" s="19"/>
      <c r="G192" s="19"/>
    </row>
    <row r="193" spans="6:7" ht="12.75" x14ac:dyDescent="0.15">
      <c r="F193" s="19"/>
      <c r="G193" s="19"/>
    </row>
    <row r="194" spans="6:7" ht="12.75" x14ac:dyDescent="0.15">
      <c r="F194" s="19"/>
      <c r="G194" s="19"/>
    </row>
    <row r="195" spans="6:7" ht="12.75" x14ac:dyDescent="0.15">
      <c r="F195" s="19"/>
      <c r="G195" s="19"/>
    </row>
    <row r="196" spans="6:7" ht="12.75" x14ac:dyDescent="0.15">
      <c r="F196" s="19"/>
      <c r="G196" s="19"/>
    </row>
    <row r="197" spans="6:7" ht="12.75" x14ac:dyDescent="0.15">
      <c r="F197" s="19"/>
      <c r="G197" s="19"/>
    </row>
    <row r="198" spans="6:7" ht="12.75" x14ac:dyDescent="0.15">
      <c r="F198" s="19"/>
      <c r="G198" s="19"/>
    </row>
    <row r="199" spans="6:7" ht="12.75" x14ac:dyDescent="0.15">
      <c r="F199" s="19"/>
      <c r="G199" s="19"/>
    </row>
    <row r="200" spans="6:7" ht="12.75" x14ac:dyDescent="0.15">
      <c r="F200" s="19"/>
      <c r="G200" s="19"/>
    </row>
    <row r="201" spans="6:7" ht="12.75" x14ac:dyDescent="0.15">
      <c r="F201" s="19"/>
      <c r="G201" s="19"/>
    </row>
    <row r="202" spans="6:7" ht="12.75" x14ac:dyDescent="0.15">
      <c r="F202" s="19"/>
      <c r="G202" s="19"/>
    </row>
    <row r="203" spans="6:7" ht="12.75" x14ac:dyDescent="0.15">
      <c r="F203" s="19"/>
      <c r="G203" s="19"/>
    </row>
    <row r="204" spans="6:7" ht="12.75" x14ac:dyDescent="0.15">
      <c r="F204" s="19"/>
      <c r="G204" s="19"/>
    </row>
    <row r="205" spans="6:7" ht="12.75" x14ac:dyDescent="0.15">
      <c r="F205" s="19"/>
      <c r="G205" s="19"/>
    </row>
    <row r="206" spans="6:7" ht="12.75" x14ac:dyDescent="0.15">
      <c r="F206" s="19"/>
      <c r="G206" s="19"/>
    </row>
    <row r="207" spans="6:7" ht="12.75" x14ac:dyDescent="0.15">
      <c r="F207" s="19"/>
      <c r="G207" s="19"/>
    </row>
    <row r="208" spans="6:7" ht="12.75" x14ac:dyDescent="0.15">
      <c r="F208" s="19"/>
      <c r="G208" s="19"/>
    </row>
    <row r="209" spans="6:7" ht="12.75" x14ac:dyDescent="0.15">
      <c r="F209" s="19"/>
      <c r="G209" s="19"/>
    </row>
    <row r="210" spans="6:7" ht="12.75" x14ac:dyDescent="0.15">
      <c r="F210" s="19"/>
      <c r="G210" s="19"/>
    </row>
    <row r="211" spans="6:7" ht="12.75" x14ac:dyDescent="0.15">
      <c r="F211" s="19"/>
      <c r="G211" s="19"/>
    </row>
    <row r="212" spans="6:7" ht="12.75" x14ac:dyDescent="0.15">
      <c r="F212" s="19"/>
      <c r="G212" s="19"/>
    </row>
    <row r="213" spans="6:7" ht="12.75" x14ac:dyDescent="0.15">
      <c r="F213" s="19"/>
      <c r="G213" s="19"/>
    </row>
    <row r="214" spans="6:7" ht="12.75" x14ac:dyDescent="0.15">
      <c r="F214" s="19"/>
      <c r="G214" s="19"/>
    </row>
    <row r="215" spans="6:7" ht="12.75" x14ac:dyDescent="0.15">
      <c r="F215" s="19"/>
      <c r="G215" s="19"/>
    </row>
    <row r="216" spans="6:7" ht="12.75" x14ac:dyDescent="0.15">
      <c r="F216" s="19"/>
      <c r="G216" s="19"/>
    </row>
    <row r="217" spans="6:7" ht="12.75" x14ac:dyDescent="0.15">
      <c r="F217" s="19"/>
      <c r="G217" s="19"/>
    </row>
    <row r="218" spans="6:7" ht="12.75" x14ac:dyDescent="0.15">
      <c r="F218" s="19"/>
      <c r="G218" s="19"/>
    </row>
    <row r="219" spans="6:7" ht="12.75" x14ac:dyDescent="0.15">
      <c r="F219" s="19"/>
      <c r="G219" s="19"/>
    </row>
    <row r="220" spans="6:7" ht="12.75" x14ac:dyDescent="0.15">
      <c r="F220" s="19"/>
      <c r="G220" s="19"/>
    </row>
    <row r="221" spans="6:7" ht="12.75" x14ac:dyDescent="0.15">
      <c r="F221" s="19"/>
      <c r="G221" s="19"/>
    </row>
    <row r="222" spans="6:7" ht="12.75" x14ac:dyDescent="0.15">
      <c r="F222" s="19"/>
      <c r="G222" s="19"/>
    </row>
    <row r="223" spans="6:7" ht="12.75" x14ac:dyDescent="0.15">
      <c r="F223" s="19"/>
      <c r="G223" s="19"/>
    </row>
    <row r="224" spans="6:7" ht="12.75" x14ac:dyDescent="0.15">
      <c r="F224" s="19"/>
      <c r="G224" s="19"/>
    </row>
    <row r="225" spans="6:7" ht="12.75" x14ac:dyDescent="0.15">
      <c r="F225" s="19"/>
      <c r="G225" s="19"/>
    </row>
    <row r="226" spans="6:7" ht="12.75" x14ac:dyDescent="0.15">
      <c r="F226" s="19"/>
      <c r="G226" s="19"/>
    </row>
    <row r="227" spans="6:7" ht="12.75" x14ac:dyDescent="0.15">
      <c r="F227" s="19"/>
      <c r="G227" s="19"/>
    </row>
    <row r="228" spans="6:7" ht="12.75" x14ac:dyDescent="0.15">
      <c r="F228" s="19"/>
      <c r="G228" s="19"/>
    </row>
    <row r="229" spans="6:7" ht="12.75" x14ac:dyDescent="0.15">
      <c r="F229" s="19"/>
      <c r="G229" s="19"/>
    </row>
    <row r="230" spans="6:7" ht="12.75" x14ac:dyDescent="0.15">
      <c r="F230" s="19"/>
      <c r="G230" s="19"/>
    </row>
    <row r="231" spans="6:7" ht="12.75" x14ac:dyDescent="0.15">
      <c r="F231" s="19"/>
      <c r="G231" s="19"/>
    </row>
    <row r="232" spans="6:7" ht="12.75" x14ac:dyDescent="0.15">
      <c r="F232" s="19"/>
      <c r="G232" s="19"/>
    </row>
    <row r="233" spans="6:7" ht="12.75" x14ac:dyDescent="0.15">
      <c r="F233" s="19"/>
      <c r="G233" s="19"/>
    </row>
    <row r="234" spans="6:7" ht="12.75" x14ac:dyDescent="0.15">
      <c r="F234" s="19"/>
      <c r="G234" s="19"/>
    </row>
    <row r="235" spans="6:7" ht="12.75" x14ac:dyDescent="0.15">
      <c r="F235" s="19"/>
      <c r="G235" s="19"/>
    </row>
    <row r="236" spans="6:7" ht="12.75" x14ac:dyDescent="0.15">
      <c r="F236" s="19"/>
      <c r="G236" s="19"/>
    </row>
    <row r="237" spans="6:7" ht="12.75" x14ac:dyDescent="0.15">
      <c r="F237" s="19"/>
      <c r="G237" s="19"/>
    </row>
    <row r="238" spans="6:7" ht="12.75" x14ac:dyDescent="0.15">
      <c r="F238" s="19"/>
      <c r="G238" s="19"/>
    </row>
    <row r="239" spans="6:7" ht="12.75" x14ac:dyDescent="0.15">
      <c r="F239" s="19"/>
      <c r="G239" s="19"/>
    </row>
    <row r="240" spans="6:7" ht="12.75" x14ac:dyDescent="0.15">
      <c r="F240" s="19"/>
      <c r="G240" s="19"/>
    </row>
    <row r="241" spans="6:7" ht="12.75" x14ac:dyDescent="0.15">
      <c r="F241" s="19"/>
      <c r="G241" s="19"/>
    </row>
    <row r="242" spans="6:7" ht="12.75" x14ac:dyDescent="0.15">
      <c r="F242" s="19"/>
      <c r="G242" s="19"/>
    </row>
    <row r="243" spans="6:7" ht="12.75" x14ac:dyDescent="0.15">
      <c r="F243" s="19"/>
      <c r="G243" s="19"/>
    </row>
    <row r="244" spans="6:7" ht="12.75" x14ac:dyDescent="0.15">
      <c r="F244" s="19"/>
      <c r="G244" s="19"/>
    </row>
    <row r="245" spans="6:7" ht="12.75" x14ac:dyDescent="0.15">
      <c r="F245" s="19"/>
      <c r="G245" s="19"/>
    </row>
    <row r="246" spans="6:7" ht="12.75" x14ac:dyDescent="0.15">
      <c r="F246" s="19"/>
      <c r="G246" s="19"/>
    </row>
    <row r="247" spans="6:7" ht="12.75" x14ac:dyDescent="0.15">
      <c r="F247" s="19"/>
      <c r="G247" s="19"/>
    </row>
    <row r="248" spans="6:7" ht="12.75" x14ac:dyDescent="0.15">
      <c r="F248" s="19"/>
      <c r="G248" s="19"/>
    </row>
    <row r="249" spans="6:7" ht="12.75" x14ac:dyDescent="0.15">
      <c r="F249" s="19"/>
      <c r="G249" s="19"/>
    </row>
    <row r="250" spans="6:7" ht="12.75" x14ac:dyDescent="0.15">
      <c r="F250" s="19"/>
      <c r="G250" s="19"/>
    </row>
    <row r="251" spans="6:7" ht="12.75" x14ac:dyDescent="0.15">
      <c r="F251" s="19"/>
      <c r="G251" s="19"/>
    </row>
    <row r="252" spans="6:7" ht="12.75" x14ac:dyDescent="0.15">
      <c r="F252" s="19"/>
      <c r="G252" s="19"/>
    </row>
    <row r="253" spans="6:7" ht="12.75" x14ac:dyDescent="0.15">
      <c r="F253" s="19"/>
      <c r="G253" s="19"/>
    </row>
    <row r="254" spans="6:7" ht="12.75" x14ac:dyDescent="0.15">
      <c r="F254" s="19"/>
      <c r="G254" s="19"/>
    </row>
    <row r="255" spans="6:7" ht="12.75" x14ac:dyDescent="0.15">
      <c r="F255" s="19"/>
      <c r="G255" s="19"/>
    </row>
    <row r="256" spans="6:7" ht="12.75" x14ac:dyDescent="0.15">
      <c r="F256" s="19"/>
      <c r="G256" s="19"/>
    </row>
    <row r="257" spans="6:7" ht="12.75" x14ac:dyDescent="0.15">
      <c r="F257" s="19"/>
      <c r="G257" s="19"/>
    </row>
    <row r="258" spans="6:7" ht="12.75" x14ac:dyDescent="0.15">
      <c r="F258" s="19"/>
      <c r="G258" s="19"/>
    </row>
    <row r="259" spans="6:7" ht="12.75" x14ac:dyDescent="0.15">
      <c r="F259" s="19"/>
      <c r="G259" s="19"/>
    </row>
    <row r="260" spans="6:7" ht="12.75" x14ac:dyDescent="0.15">
      <c r="F260" s="19"/>
      <c r="G260" s="19"/>
    </row>
    <row r="261" spans="6:7" ht="12.75" x14ac:dyDescent="0.15">
      <c r="F261" s="19"/>
      <c r="G261" s="19"/>
    </row>
    <row r="262" spans="6:7" ht="12.75" x14ac:dyDescent="0.15">
      <c r="F262" s="19"/>
      <c r="G262" s="19"/>
    </row>
    <row r="263" spans="6:7" ht="12.75" x14ac:dyDescent="0.15">
      <c r="F263" s="19"/>
      <c r="G263" s="19"/>
    </row>
    <row r="264" spans="6:7" ht="12.75" x14ac:dyDescent="0.15">
      <c r="F264" s="19"/>
      <c r="G264" s="19"/>
    </row>
    <row r="265" spans="6:7" ht="12.75" x14ac:dyDescent="0.15">
      <c r="F265" s="19"/>
      <c r="G265" s="19"/>
    </row>
    <row r="266" spans="6:7" ht="12.75" x14ac:dyDescent="0.15">
      <c r="F266" s="19"/>
      <c r="G266" s="19"/>
    </row>
    <row r="267" spans="6:7" ht="12.75" x14ac:dyDescent="0.15">
      <c r="F267" s="19"/>
      <c r="G267" s="19"/>
    </row>
    <row r="268" spans="6:7" ht="12.75" x14ac:dyDescent="0.15">
      <c r="F268" s="19"/>
      <c r="G268" s="19"/>
    </row>
    <row r="269" spans="6:7" ht="12.75" x14ac:dyDescent="0.15">
      <c r="F269" s="19"/>
      <c r="G269" s="19"/>
    </row>
    <row r="270" spans="6:7" ht="12.75" x14ac:dyDescent="0.15">
      <c r="F270" s="19"/>
      <c r="G270" s="19"/>
    </row>
    <row r="271" spans="6:7" ht="12.75" x14ac:dyDescent="0.15">
      <c r="F271" s="19"/>
      <c r="G271" s="19"/>
    </row>
    <row r="272" spans="6:7" ht="12.75" x14ac:dyDescent="0.15">
      <c r="F272" s="19"/>
      <c r="G272" s="19"/>
    </row>
    <row r="273" spans="6:7" ht="12.75" x14ac:dyDescent="0.15">
      <c r="F273" s="19"/>
      <c r="G273" s="19"/>
    </row>
    <row r="274" spans="6:7" ht="12.75" x14ac:dyDescent="0.15">
      <c r="F274" s="19"/>
      <c r="G274" s="19"/>
    </row>
    <row r="275" spans="6:7" ht="12.75" x14ac:dyDescent="0.15">
      <c r="F275" s="19"/>
      <c r="G275" s="19"/>
    </row>
    <row r="276" spans="6:7" ht="12.75" x14ac:dyDescent="0.15">
      <c r="F276" s="19"/>
      <c r="G276" s="19"/>
    </row>
    <row r="277" spans="6:7" ht="12.75" x14ac:dyDescent="0.15">
      <c r="F277" s="19"/>
      <c r="G277" s="19"/>
    </row>
    <row r="278" spans="6:7" ht="12.75" x14ac:dyDescent="0.15">
      <c r="F278" s="19"/>
      <c r="G278" s="19"/>
    </row>
    <row r="279" spans="6:7" ht="12.75" x14ac:dyDescent="0.15">
      <c r="F279" s="19"/>
      <c r="G279" s="19"/>
    </row>
    <row r="280" spans="6:7" ht="12.75" x14ac:dyDescent="0.15">
      <c r="F280" s="19"/>
      <c r="G280" s="19"/>
    </row>
    <row r="281" spans="6:7" ht="12.75" x14ac:dyDescent="0.15">
      <c r="F281" s="19"/>
      <c r="G281" s="19"/>
    </row>
    <row r="282" spans="6:7" ht="12.75" x14ac:dyDescent="0.15">
      <c r="F282" s="19"/>
      <c r="G282" s="19"/>
    </row>
    <row r="283" spans="6:7" ht="12.75" x14ac:dyDescent="0.15">
      <c r="F283" s="19"/>
      <c r="G283" s="19"/>
    </row>
    <row r="284" spans="6:7" ht="12.75" x14ac:dyDescent="0.15">
      <c r="F284" s="19"/>
      <c r="G284" s="19"/>
    </row>
    <row r="285" spans="6:7" ht="12.75" x14ac:dyDescent="0.15">
      <c r="F285" s="19"/>
      <c r="G285" s="19"/>
    </row>
    <row r="286" spans="6:7" ht="12.75" x14ac:dyDescent="0.15">
      <c r="F286" s="19"/>
      <c r="G286" s="19"/>
    </row>
    <row r="287" spans="6:7" ht="12.75" x14ac:dyDescent="0.15">
      <c r="F287" s="19"/>
      <c r="G287" s="19"/>
    </row>
    <row r="288" spans="6:7" ht="12.75" x14ac:dyDescent="0.15">
      <c r="F288" s="19"/>
      <c r="G288" s="19"/>
    </row>
    <row r="289" spans="6:7" ht="12.75" x14ac:dyDescent="0.15">
      <c r="F289" s="19"/>
      <c r="G289" s="19"/>
    </row>
    <row r="290" spans="6:7" ht="12.75" x14ac:dyDescent="0.15">
      <c r="F290" s="19"/>
      <c r="G290" s="19"/>
    </row>
    <row r="291" spans="6:7" ht="12.75" x14ac:dyDescent="0.15">
      <c r="F291" s="19"/>
      <c r="G291" s="19"/>
    </row>
    <row r="292" spans="6:7" ht="12.75" x14ac:dyDescent="0.15">
      <c r="F292" s="19"/>
      <c r="G292" s="19"/>
    </row>
    <row r="293" spans="6:7" ht="12.75" x14ac:dyDescent="0.15">
      <c r="F293" s="19"/>
      <c r="G293" s="19"/>
    </row>
    <row r="294" spans="6:7" ht="12.75" x14ac:dyDescent="0.15">
      <c r="F294" s="19"/>
      <c r="G294" s="19"/>
    </row>
    <row r="295" spans="6:7" ht="12.75" x14ac:dyDescent="0.15">
      <c r="F295" s="19"/>
      <c r="G295" s="19"/>
    </row>
    <row r="296" spans="6:7" ht="12.75" x14ac:dyDescent="0.15">
      <c r="F296" s="19"/>
      <c r="G296" s="19"/>
    </row>
    <row r="297" spans="6:7" ht="12.75" x14ac:dyDescent="0.15">
      <c r="F297" s="19"/>
      <c r="G297" s="19"/>
    </row>
    <row r="298" spans="6:7" ht="12.75" x14ac:dyDescent="0.15">
      <c r="F298" s="19"/>
      <c r="G298" s="19"/>
    </row>
    <row r="299" spans="6:7" ht="12.75" x14ac:dyDescent="0.15">
      <c r="F299" s="19"/>
      <c r="G299" s="19"/>
    </row>
    <row r="300" spans="6:7" ht="12.75" x14ac:dyDescent="0.15">
      <c r="F300" s="19"/>
      <c r="G300" s="19"/>
    </row>
    <row r="301" spans="6:7" ht="12.75" x14ac:dyDescent="0.15">
      <c r="F301" s="19"/>
      <c r="G301" s="19"/>
    </row>
    <row r="302" spans="6:7" ht="12.75" x14ac:dyDescent="0.15">
      <c r="F302" s="19"/>
      <c r="G302" s="19"/>
    </row>
    <row r="303" spans="6:7" ht="12.75" x14ac:dyDescent="0.15">
      <c r="F303" s="19"/>
      <c r="G303" s="19"/>
    </row>
    <row r="304" spans="6:7" ht="12.75" x14ac:dyDescent="0.15">
      <c r="F304" s="19"/>
      <c r="G304" s="19"/>
    </row>
    <row r="305" spans="6:7" ht="12.75" x14ac:dyDescent="0.15">
      <c r="F305" s="19"/>
      <c r="G305" s="19"/>
    </row>
    <row r="306" spans="6:7" ht="12.75" x14ac:dyDescent="0.15">
      <c r="F306" s="19"/>
      <c r="G306" s="19"/>
    </row>
    <row r="307" spans="6:7" ht="12.75" x14ac:dyDescent="0.15">
      <c r="F307" s="19"/>
      <c r="G307" s="19"/>
    </row>
    <row r="308" spans="6:7" ht="12.75" x14ac:dyDescent="0.15">
      <c r="F308" s="19"/>
      <c r="G308" s="19"/>
    </row>
    <row r="309" spans="6:7" ht="12.75" x14ac:dyDescent="0.15">
      <c r="F309" s="19"/>
      <c r="G309" s="19"/>
    </row>
    <row r="310" spans="6:7" ht="12.75" x14ac:dyDescent="0.15">
      <c r="F310" s="19"/>
      <c r="G310" s="19"/>
    </row>
    <row r="311" spans="6:7" ht="12.75" x14ac:dyDescent="0.15">
      <c r="F311" s="19"/>
      <c r="G311" s="19"/>
    </row>
    <row r="312" spans="6:7" ht="12.75" x14ac:dyDescent="0.15">
      <c r="F312" s="19"/>
      <c r="G312" s="19"/>
    </row>
    <row r="313" spans="6:7" ht="12.75" x14ac:dyDescent="0.15">
      <c r="F313" s="19"/>
      <c r="G313" s="19"/>
    </row>
    <row r="314" spans="6:7" ht="12.75" x14ac:dyDescent="0.15">
      <c r="F314" s="19"/>
      <c r="G314" s="19"/>
    </row>
    <row r="315" spans="6:7" ht="12.75" x14ac:dyDescent="0.15">
      <c r="F315" s="19"/>
      <c r="G315" s="19"/>
    </row>
    <row r="316" spans="6:7" ht="12.75" x14ac:dyDescent="0.15">
      <c r="F316" s="19"/>
      <c r="G316" s="19"/>
    </row>
    <row r="317" spans="6:7" ht="12.75" x14ac:dyDescent="0.15">
      <c r="F317" s="19"/>
      <c r="G317" s="19"/>
    </row>
    <row r="318" spans="6:7" ht="12.75" x14ac:dyDescent="0.15">
      <c r="F318" s="19"/>
      <c r="G318" s="19"/>
    </row>
    <row r="319" spans="6:7" ht="12.75" x14ac:dyDescent="0.15">
      <c r="F319" s="19"/>
      <c r="G319" s="19"/>
    </row>
    <row r="320" spans="6:7" ht="12.75" x14ac:dyDescent="0.15">
      <c r="F320" s="19"/>
      <c r="G320" s="19"/>
    </row>
    <row r="321" spans="6:7" ht="12.75" x14ac:dyDescent="0.15">
      <c r="F321" s="19"/>
      <c r="G321" s="19"/>
    </row>
    <row r="322" spans="6:7" ht="12.75" x14ac:dyDescent="0.15">
      <c r="F322" s="19"/>
      <c r="G322" s="19"/>
    </row>
    <row r="323" spans="6:7" ht="12.75" x14ac:dyDescent="0.15">
      <c r="F323" s="19"/>
      <c r="G323" s="19"/>
    </row>
    <row r="324" spans="6:7" ht="12.75" x14ac:dyDescent="0.15">
      <c r="F324" s="19"/>
      <c r="G324" s="19"/>
    </row>
    <row r="325" spans="6:7" ht="12.75" x14ac:dyDescent="0.15">
      <c r="F325" s="19"/>
      <c r="G325" s="19"/>
    </row>
    <row r="326" spans="6:7" ht="12.75" x14ac:dyDescent="0.15">
      <c r="F326" s="19"/>
      <c r="G326" s="19"/>
    </row>
    <row r="327" spans="6:7" ht="12.75" x14ac:dyDescent="0.15">
      <c r="F327" s="19"/>
      <c r="G327" s="19"/>
    </row>
    <row r="328" spans="6:7" ht="12.75" x14ac:dyDescent="0.15">
      <c r="F328" s="19"/>
      <c r="G328" s="19"/>
    </row>
    <row r="329" spans="6:7" ht="12.75" x14ac:dyDescent="0.15">
      <c r="F329" s="19"/>
      <c r="G329" s="19"/>
    </row>
    <row r="330" spans="6:7" ht="12.75" x14ac:dyDescent="0.15">
      <c r="F330" s="19"/>
      <c r="G330" s="19"/>
    </row>
    <row r="331" spans="6:7" ht="12.75" x14ac:dyDescent="0.15">
      <c r="F331" s="19"/>
      <c r="G331" s="19"/>
    </row>
    <row r="332" spans="6:7" ht="12.75" x14ac:dyDescent="0.15">
      <c r="F332" s="19"/>
      <c r="G332" s="19"/>
    </row>
    <row r="333" spans="6:7" ht="12.75" x14ac:dyDescent="0.15">
      <c r="F333" s="19"/>
      <c r="G333" s="19"/>
    </row>
    <row r="334" spans="6:7" ht="12.75" x14ac:dyDescent="0.15">
      <c r="F334" s="19"/>
      <c r="G334" s="19"/>
    </row>
    <row r="335" spans="6:7" ht="12.75" x14ac:dyDescent="0.15">
      <c r="F335" s="19"/>
      <c r="G335" s="19"/>
    </row>
    <row r="336" spans="6:7" ht="12.75" x14ac:dyDescent="0.15">
      <c r="F336" s="19"/>
      <c r="G336" s="19"/>
    </row>
    <row r="337" spans="6:7" ht="12.75" x14ac:dyDescent="0.15">
      <c r="F337" s="19"/>
      <c r="G337" s="19"/>
    </row>
    <row r="338" spans="6:7" ht="12.75" x14ac:dyDescent="0.15">
      <c r="F338" s="19"/>
      <c r="G338" s="19"/>
    </row>
    <row r="339" spans="6:7" ht="12.75" x14ac:dyDescent="0.15">
      <c r="F339" s="19"/>
      <c r="G339" s="19"/>
    </row>
    <row r="340" spans="6:7" ht="12.75" x14ac:dyDescent="0.15">
      <c r="F340" s="19"/>
      <c r="G340" s="19"/>
    </row>
    <row r="341" spans="6:7" ht="12.75" x14ac:dyDescent="0.15">
      <c r="F341" s="19"/>
      <c r="G341" s="19"/>
    </row>
    <row r="342" spans="6:7" ht="12.75" x14ac:dyDescent="0.15">
      <c r="F342" s="19"/>
      <c r="G342" s="19"/>
    </row>
    <row r="343" spans="6:7" ht="12.75" x14ac:dyDescent="0.15">
      <c r="F343" s="19"/>
      <c r="G343" s="19"/>
    </row>
    <row r="344" spans="6:7" ht="12.75" x14ac:dyDescent="0.15">
      <c r="F344" s="19"/>
      <c r="G344" s="19"/>
    </row>
    <row r="345" spans="6:7" ht="12.75" x14ac:dyDescent="0.15">
      <c r="F345" s="19"/>
      <c r="G345" s="19"/>
    </row>
    <row r="346" spans="6:7" ht="12.75" x14ac:dyDescent="0.15">
      <c r="F346" s="19"/>
      <c r="G346" s="19"/>
    </row>
    <row r="347" spans="6:7" ht="12.75" x14ac:dyDescent="0.15">
      <c r="F347" s="19"/>
      <c r="G347" s="19"/>
    </row>
    <row r="348" spans="6:7" ht="12.75" x14ac:dyDescent="0.15">
      <c r="F348" s="19"/>
      <c r="G348" s="19"/>
    </row>
    <row r="349" spans="6:7" ht="12.75" x14ac:dyDescent="0.15">
      <c r="F349" s="19"/>
      <c r="G349" s="19"/>
    </row>
    <row r="350" spans="6:7" ht="12.75" x14ac:dyDescent="0.15">
      <c r="F350" s="19"/>
      <c r="G350" s="19"/>
    </row>
    <row r="351" spans="6:7" ht="12.75" x14ac:dyDescent="0.15">
      <c r="F351" s="19"/>
      <c r="G351" s="19"/>
    </row>
    <row r="352" spans="6:7" ht="12.75" x14ac:dyDescent="0.15">
      <c r="F352" s="19"/>
      <c r="G352" s="19"/>
    </row>
    <row r="353" spans="6:7" ht="12.75" x14ac:dyDescent="0.15">
      <c r="F353" s="19"/>
      <c r="G353" s="19"/>
    </row>
    <row r="354" spans="6:7" ht="12.75" x14ac:dyDescent="0.15">
      <c r="F354" s="19"/>
      <c r="G354" s="19"/>
    </row>
    <row r="355" spans="6:7" ht="12.75" x14ac:dyDescent="0.15">
      <c r="F355" s="19"/>
      <c r="G355" s="19"/>
    </row>
    <row r="356" spans="6:7" ht="12.75" x14ac:dyDescent="0.15">
      <c r="F356" s="19"/>
      <c r="G356" s="19"/>
    </row>
    <row r="357" spans="6:7" ht="12.75" x14ac:dyDescent="0.15">
      <c r="F357" s="19"/>
      <c r="G357" s="19"/>
    </row>
    <row r="358" spans="6:7" ht="12.75" x14ac:dyDescent="0.15">
      <c r="F358" s="19"/>
      <c r="G358" s="19"/>
    </row>
    <row r="359" spans="6:7" ht="12.75" x14ac:dyDescent="0.15">
      <c r="F359" s="19"/>
      <c r="G359" s="19"/>
    </row>
    <row r="360" spans="6:7" ht="12.75" x14ac:dyDescent="0.15">
      <c r="F360" s="19"/>
      <c r="G360" s="19"/>
    </row>
    <row r="361" spans="6:7" ht="12.75" x14ac:dyDescent="0.15">
      <c r="F361" s="19"/>
      <c r="G361" s="19"/>
    </row>
    <row r="362" spans="6:7" ht="12.75" x14ac:dyDescent="0.15">
      <c r="F362" s="19"/>
      <c r="G362" s="19"/>
    </row>
    <row r="363" spans="6:7" ht="12.75" x14ac:dyDescent="0.15">
      <c r="F363" s="19"/>
      <c r="G363" s="19"/>
    </row>
    <row r="364" spans="6:7" ht="12.75" x14ac:dyDescent="0.15">
      <c r="F364" s="19"/>
      <c r="G364" s="19"/>
    </row>
    <row r="365" spans="6:7" ht="12.75" x14ac:dyDescent="0.15">
      <c r="F365" s="19"/>
      <c r="G365" s="19"/>
    </row>
    <row r="366" spans="6:7" ht="12.75" x14ac:dyDescent="0.15">
      <c r="F366" s="19"/>
      <c r="G366" s="19"/>
    </row>
    <row r="367" spans="6:7" ht="12.75" x14ac:dyDescent="0.15">
      <c r="F367" s="19"/>
      <c r="G367" s="19"/>
    </row>
    <row r="368" spans="6:7" ht="12.75" x14ac:dyDescent="0.15">
      <c r="F368" s="19"/>
      <c r="G368" s="19"/>
    </row>
    <row r="369" spans="6:7" ht="12.75" x14ac:dyDescent="0.15">
      <c r="F369" s="19"/>
      <c r="G369" s="19"/>
    </row>
    <row r="370" spans="6:7" ht="12.75" x14ac:dyDescent="0.15">
      <c r="F370" s="19"/>
      <c r="G370" s="19"/>
    </row>
    <row r="371" spans="6:7" ht="12.75" x14ac:dyDescent="0.15">
      <c r="F371" s="19"/>
      <c r="G371" s="19"/>
    </row>
    <row r="372" spans="6:7" ht="12.75" x14ac:dyDescent="0.15">
      <c r="F372" s="19"/>
      <c r="G372" s="19"/>
    </row>
    <row r="373" spans="6:7" ht="12.75" x14ac:dyDescent="0.15">
      <c r="F373" s="19"/>
      <c r="G373" s="19"/>
    </row>
    <row r="374" spans="6:7" ht="12.75" x14ac:dyDescent="0.15">
      <c r="F374" s="19"/>
      <c r="G374" s="19"/>
    </row>
    <row r="375" spans="6:7" ht="12.75" x14ac:dyDescent="0.15">
      <c r="F375" s="19"/>
      <c r="G375" s="19"/>
    </row>
    <row r="376" spans="6:7" ht="12.75" x14ac:dyDescent="0.15">
      <c r="F376" s="19"/>
      <c r="G376" s="19"/>
    </row>
    <row r="377" spans="6:7" ht="12.75" x14ac:dyDescent="0.15">
      <c r="F377" s="19"/>
      <c r="G377" s="19"/>
    </row>
    <row r="378" spans="6:7" ht="12.75" x14ac:dyDescent="0.15">
      <c r="F378" s="19"/>
      <c r="G378" s="19"/>
    </row>
    <row r="379" spans="6:7" ht="12.75" x14ac:dyDescent="0.15">
      <c r="F379" s="19"/>
      <c r="G379" s="19"/>
    </row>
    <row r="380" spans="6:7" ht="12.75" x14ac:dyDescent="0.15">
      <c r="F380" s="19"/>
      <c r="G380" s="19"/>
    </row>
    <row r="381" spans="6:7" ht="12.75" x14ac:dyDescent="0.15">
      <c r="F381" s="19"/>
      <c r="G381" s="19"/>
    </row>
    <row r="382" spans="6:7" ht="12.75" x14ac:dyDescent="0.15">
      <c r="F382" s="19"/>
      <c r="G382" s="19"/>
    </row>
    <row r="383" spans="6:7" ht="12.75" x14ac:dyDescent="0.15">
      <c r="F383" s="19"/>
      <c r="G383" s="19"/>
    </row>
    <row r="384" spans="6:7" ht="12.75" x14ac:dyDescent="0.15">
      <c r="F384" s="19"/>
      <c r="G384" s="19"/>
    </row>
    <row r="385" spans="6:7" ht="12.75" x14ac:dyDescent="0.15">
      <c r="F385" s="19"/>
      <c r="G385" s="19"/>
    </row>
    <row r="386" spans="6:7" ht="12.75" x14ac:dyDescent="0.15">
      <c r="F386" s="19"/>
      <c r="G386" s="19"/>
    </row>
    <row r="387" spans="6:7" ht="12.75" x14ac:dyDescent="0.15">
      <c r="F387" s="19"/>
      <c r="G387" s="19"/>
    </row>
    <row r="388" spans="6:7" ht="12.75" x14ac:dyDescent="0.15">
      <c r="F388" s="19"/>
      <c r="G388" s="19"/>
    </row>
    <row r="389" spans="6:7" ht="12.75" x14ac:dyDescent="0.15">
      <c r="F389" s="19"/>
      <c r="G389" s="19"/>
    </row>
    <row r="390" spans="6:7" ht="12.75" x14ac:dyDescent="0.15">
      <c r="F390" s="19"/>
      <c r="G390" s="19"/>
    </row>
    <row r="391" spans="6:7" ht="12.75" x14ac:dyDescent="0.15">
      <c r="F391" s="19"/>
      <c r="G391" s="19"/>
    </row>
    <row r="392" spans="6:7" ht="12.75" x14ac:dyDescent="0.15">
      <c r="F392" s="19"/>
      <c r="G392" s="19"/>
    </row>
    <row r="393" spans="6:7" ht="12.75" x14ac:dyDescent="0.15">
      <c r="F393" s="19"/>
      <c r="G393" s="19"/>
    </row>
    <row r="394" spans="6:7" ht="12.75" x14ac:dyDescent="0.15">
      <c r="F394" s="19"/>
      <c r="G394" s="19"/>
    </row>
    <row r="395" spans="6:7" ht="12.75" x14ac:dyDescent="0.15">
      <c r="F395" s="19"/>
      <c r="G395" s="19"/>
    </row>
    <row r="396" spans="6:7" ht="12.75" x14ac:dyDescent="0.15">
      <c r="F396" s="19"/>
      <c r="G396" s="19"/>
    </row>
    <row r="397" spans="6:7" ht="12.75" x14ac:dyDescent="0.15">
      <c r="F397" s="19"/>
      <c r="G397" s="19"/>
    </row>
    <row r="398" spans="6:7" ht="12.75" x14ac:dyDescent="0.15">
      <c r="F398" s="19"/>
      <c r="G398" s="19"/>
    </row>
    <row r="399" spans="6:7" ht="12.75" x14ac:dyDescent="0.15">
      <c r="F399" s="19"/>
      <c r="G399" s="19"/>
    </row>
    <row r="400" spans="6:7" ht="12.75" x14ac:dyDescent="0.15">
      <c r="F400" s="19"/>
      <c r="G400" s="19"/>
    </row>
    <row r="401" spans="6:7" ht="12.75" x14ac:dyDescent="0.15">
      <c r="F401" s="19"/>
      <c r="G401" s="19"/>
    </row>
    <row r="402" spans="6:7" ht="12.75" x14ac:dyDescent="0.15">
      <c r="F402" s="19"/>
      <c r="G402" s="19"/>
    </row>
    <row r="403" spans="6:7" ht="12.75" x14ac:dyDescent="0.15">
      <c r="F403" s="19"/>
      <c r="G403" s="19"/>
    </row>
    <row r="404" spans="6:7" ht="12.75" x14ac:dyDescent="0.15">
      <c r="F404" s="19"/>
      <c r="G404" s="19"/>
    </row>
    <row r="405" spans="6:7" ht="12.75" x14ac:dyDescent="0.15">
      <c r="F405" s="19"/>
      <c r="G405" s="19"/>
    </row>
    <row r="406" spans="6:7" ht="12.75" x14ac:dyDescent="0.15">
      <c r="F406" s="19"/>
      <c r="G406" s="19"/>
    </row>
    <row r="407" spans="6:7" ht="12.75" x14ac:dyDescent="0.15">
      <c r="F407" s="19"/>
      <c r="G407" s="19"/>
    </row>
    <row r="408" spans="6:7" ht="12.75" x14ac:dyDescent="0.15">
      <c r="F408" s="19"/>
      <c r="G408" s="19"/>
    </row>
    <row r="409" spans="6:7" ht="12.75" x14ac:dyDescent="0.15">
      <c r="F409" s="19"/>
      <c r="G409" s="19"/>
    </row>
    <row r="410" spans="6:7" ht="12.75" x14ac:dyDescent="0.15">
      <c r="F410" s="19"/>
      <c r="G410" s="19"/>
    </row>
    <row r="411" spans="6:7" ht="12.75" x14ac:dyDescent="0.15">
      <c r="F411" s="19"/>
      <c r="G411" s="19"/>
    </row>
    <row r="412" spans="6:7" ht="12.75" x14ac:dyDescent="0.15">
      <c r="F412" s="19"/>
      <c r="G412" s="19"/>
    </row>
    <row r="413" spans="6:7" ht="12.75" x14ac:dyDescent="0.15">
      <c r="F413" s="19"/>
      <c r="G413" s="19"/>
    </row>
    <row r="414" spans="6:7" ht="12.75" x14ac:dyDescent="0.15">
      <c r="F414" s="19"/>
      <c r="G414" s="19"/>
    </row>
    <row r="415" spans="6:7" ht="12.75" x14ac:dyDescent="0.15">
      <c r="F415" s="19"/>
      <c r="G415" s="19"/>
    </row>
    <row r="416" spans="6:7" ht="12.75" x14ac:dyDescent="0.15">
      <c r="F416" s="19"/>
      <c r="G416" s="19"/>
    </row>
    <row r="417" spans="6:7" ht="12.75" x14ac:dyDescent="0.15">
      <c r="F417" s="19"/>
      <c r="G417" s="19"/>
    </row>
    <row r="418" spans="6:7" ht="12.75" x14ac:dyDescent="0.15">
      <c r="F418" s="19"/>
      <c r="G418" s="19"/>
    </row>
    <row r="419" spans="6:7" ht="12.75" x14ac:dyDescent="0.15">
      <c r="F419" s="19"/>
      <c r="G419" s="19"/>
    </row>
    <row r="420" spans="6:7" ht="12.75" x14ac:dyDescent="0.15">
      <c r="F420" s="19"/>
      <c r="G420" s="19"/>
    </row>
    <row r="421" spans="6:7" ht="12.75" x14ac:dyDescent="0.15">
      <c r="F421" s="19"/>
      <c r="G421" s="19"/>
    </row>
    <row r="422" spans="6:7" ht="12.75" x14ac:dyDescent="0.15">
      <c r="F422" s="19"/>
      <c r="G422" s="19"/>
    </row>
    <row r="423" spans="6:7" ht="12.75" x14ac:dyDescent="0.15">
      <c r="F423" s="19"/>
      <c r="G423" s="19"/>
    </row>
    <row r="424" spans="6:7" ht="12.75" x14ac:dyDescent="0.15">
      <c r="F424" s="19"/>
      <c r="G424" s="19"/>
    </row>
    <row r="425" spans="6:7" ht="12.75" x14ac:dyDescent="0.15">
      <c r="F425" s="19"/>
      <c r="G425" s="19"/>
    </row>
    <row r="426" spans="6:7" ht="12.75" x14ac:dyDescent="0.15">
      <c r="F426" s="19"/>
      <c r="G426" s="19"/>
    </row>
    <row r="427" spans="6:7" ht="12.75" x14ac:dyDescent="0.15">
      <c r="F427" s="19"/>
      <c r="G427" s="19"/>
    </row>
    <row r="428" spans="6:7" ht="12.75" x14ac:dyDescent="0.15">
      <c r="F428" s="19"/>
      <c r="G428" s="19"/>
    </row>
    <row r="429" spans="6:7" ht="12.75" x14ac:dyDescent="0.15">
      <c r="F429" s="19"/>
      <c r="G429" s="19"/>
    </row>
    <row r="430" spans="6:7" ht="12.75" x14ac:dyDescent="0.15">
      <c r="F430" s="19"/>
      <c r="G430" s="19"/>
    </row>
    <row r="431" spans="6:7" ht="12.75" x14ac:dyDescent="0.15">
      <c r="F431" s="19"/>
      <c r="G431" s="19"/>
    </row>
    <row r="432" spans="6:7" ht="12.75" x14ac:dyDescent="0.15">
      <c r="F432" s="19"/>
      <c r="G432" s="19"/>
    </row>
    <row r="433" spans="6:7" ht="12.75" x14ac:dyDescent="0.15">
      <c r="F433" s="19"/>
      <c r="G433" s="19"/>
    </row>
    <row r="434" spans="6:7" ht="12.75" x14ac:dyDescent="0.15">
      <c r="F434" s="19"/>
      <c r="G434" s="19"/>
    </row>
    <row r="435" spans="6:7" ht="12.75" x14ac:dyDescent="0.15">
      <c r="F435" s="19"/>
      <c r="G435" s="19"/>
    </row>
    <row r="436" spans="6:7" ht="12.75" x14ac:dyDescent="0.15">
      <c r="F436" s="19"/>
      <c r="G436" s="19"/>
    </row>
    <row r="437" spans="6:7" ht="12.75" x14ac:dyDescent="0.15">
      <c r="F437" s="19"/>
      <c r="G437" s="19"/>
    </row>
    <row r="438" spans="6:7" ht="12.75" x14ac:dyDescent="0.15">
      <c r="F438" s="19"/>
      <c r="G438" s="19"/>
    </row>
    <row r="439" spans="6:7" ht="12.75" x14ac:dyDescent="0.15">
      <c r="F439" s="19"/>
      <c r="G439" s="19"/>
    </row>
    <row r="440" spans="6:7" ht="12.75" x14ac:dyDescent="0.15">
      <c r="F440" s="19"/>
      <c r="G440" s="19"/>
    </row>
    <row r="441" spans="6:7" ht="12.75" x14ac:dyDescent="0.15">
      <c r="F441" s="19"/>
      <c r="G441" s="19"/>
    </row>
    <row r="442" spans="6:7" ht="12.75" x14ac:dyDescent="0.15">
      <c r="F442" s="19"/>
      <c r="G442" s="19"/>
    </row>
    <row r="443" spans="6:7" ht="12.75" x14ac:dyDescent="0.15">
      <c r="F443" s="19"/>
      <c r="G443" s="19"/>
    </row>
    <row r="444" spans="6:7" ht="12.75" x14ac:dyDescent="0.15">
      <c r="F444" s="19"/>
      <c r="G444" s="19"/>
    </row>
    <row r="445" spans="6:7" ht="12.75" x14ac:dyDescent="0.15">
      <c r="F445" s="19"/>
      <c r="G445" s="19"/>
    </row>
    <row r="446" spans="6:7" ht="12.75" x14ac:dyDescent="0.15">
      <c r="F446" s="19"/>
      <c r="G446" s="19"/>
    </row>
    <row r="447" spans="6:7" ht="12.75" x14ac:dyDescent="0.15">
      <c r="F447" s="19"/>
      <c r="G447" s="19"/>
    </row>
    <row r="448" spans="6:7" ht="12.75" x14ac:dyDescent="0.15">
      <c r="F448" s="19"/>
      <c r="G448" s="19"/>
    </row>
    <row r="449" spans="6:7" ht="12.75" x14ac:dyDescent="0.15">
      <c r="F449" s="19"/>
      <c r="G449" s="19"/>
    </row>
    <row r="450" spans="6:7" ht="12.75" x14ac:dyDescent="0.15">
      <c r="F450" s="19"/>
      <c r="G450" s="19"/>
    </row>
    <row r="451" spans="6:7" ht="12.75" x14ac:dyDescent="0.15">
      <c r="F451" s="19"/>
      <c r="G451" s="19"/>
    </row>
    <row r="452" spans="6:7" ht="12.75" x14ac:dyDescent="0.15">
      <c r="F452" s="19"/>
      <c r="G452" s="19"/>
    </row>
    <row r="453" spans="6:7" ht="12.75" x14ac:dyDescent="0.15">
      <c r="F453" s="19"/>
      <c r="G453" s="19"/>
    </row>
    <row r="454" spans="6:7" ht="12.75" x14ac:dyDescent="0.15">
      <c r="F454" s="19"/>
      <c r="G454" s="19"/>
    </row>
    <row r="455" spans="6:7" ht="12.75" x14ac:dyDescent="0.15">
      <c r="F455" s="19"/>
      <c r="G455" s="19"/>
    </row>
    <row r="456" spans="6:7" ht="12.75" x14ac:dyDescent="0.15">
      <c r="F456" s="19"/>
      <c r="G456" s="19"/>
    </row>
    <row r="457" spans="6:7" ht="12.75" x14ac:dyDescent="0.15">
      <c r="F457" s="19"/>
      <c r="G457" s="19"/>
    </row>
    <row r="458" spans="6:7" ht="12.75" x14ac:dyDescent="0.15">
      <c r="F458" s="19"/>
      <c r="G458" s="19"/>
    </row>
    <row r="459" spans="6:7" ht="12.75" x14ac:dyDescent="0.15">
      <c r="F459" s="19"/>
      <c r="G459" s="19"/>
    </row>
    <row r="460" spans="6:7" ht="12.75" x14ac:dyDescent="0.15">
      <c r="F460" s="19"/>
      <c r="G460" s="19"/>
    </row>
    <row r="461" spans="6:7" ht="12.75" x14ac:dyDescent="0.15">
      <c r="F461" s="19"/>
      <c r="G461" s="19"/>
    </row>
    <row r="462" spans="6:7" ht="12.75" x14ac:dyDescent="0.15">
      <c r="F462" s="19"/>
      <c r="G462" s="19"/>
    </row>
    <row r="463" spans="6:7" ht="12.75" x14ac:dyDescent="0.15">
      <c r="F463" s="19"/>
      <c r="G463" s="19"/>
    </row>
    <row r="464" spans="6:7" ht="12.75" x14ac:dyDescent="0.15">
      <c r="F464" s="19"/>
      <c r="G464" s="19"/>
    </row>
    <row r="465" spans="6:7" ht="12.75" x14ac:dyDescent="0.15">
      <c r="F465" s="19"/>
      <c r="G465" s="19"/>
    </row>
    <row r="466" spans="6:7" ht="12.75" x14ac:dyDescent="0.15">
      <c r="F466" s="19"/>
      <c r="G466" s="19"/>
    </row>
    <row r="467" spans="6:7" ht="12.75" x14ac:dyDescent="0.15">
      <c r="F467" s="19"/>
      <c r="G467" s="19"/>
    </row>
    <row r="468" spans="6:7" ht="12.75" x14ac:dyDescent="0.15">
      <c r="F468" s="19"/>
      <c r="G468" s="19"/>
    </row>
    <row r="469" spans="6:7" ht="12.75" x14ac:dyDescent="0.15">
      <c r="F469" s="19"/>
      <c r="G469" s="19"/>
    </row>
    <row r="470" spans="6:7" ht="12.75" x14ac:dyDescent="0.15">
      <c r="F470" s="19"/>
      <c r="G470" s="19"/>
    </row>
    <row r="471" spans="6:7" ht="12.75" x14ac:dyDescent="0.15">
      <c r="F471" s="19"/>
      <c r="G471" s="19"/>
    </row>
    <row r="472" spans="6:7" ht="12.75" x14ac:dyDescent="0.15">
      <c r="F472" s="19"/>
      <c r="G472" s="19"/>
    </row>
    <row r="473" spans="6:7" ht="12.75" x14ac:dyDescent="0.15">
      <c r="F473" s="19"/>
      <c r="G473" s="19"/>
    </row>
    <row r="474" spans="6:7" ht="12.75" x14ac:dyDescent="0.15">
      <c r="F474" s="19"/>
      <c r="G474" s="19"/>
    </row>
    <row r="475" spans="6:7" ht="12.75" x14ac:dyDescent="0.15">
      <c r="F475" s="19"/>
      <c r="G475" s="19"/>
    </row>
    <row r="476" spans="6:7" ht="12.75" x14ac:dyDescent="0.15">
      <c r="F476" s="19"/>
      <c r="G476" s="19"/>
    </row>
    <row r="477" spans="6:7" ht="12.75" x14ac:dyDescent="0.15">
      <c r="F477" s="19"/>
      <c r="G477" s="19"/>
    </row>
    <row r="478" spans="6:7" ht="12.75" x14ac:dyDescent="0.15">
      <c r="F478" s="19"/>
      <c r="G478" s="19"/>
    </row>
    <row r="479" spans="6:7" ht="12.75" x14ac:dyDescent="0.15">
      <c r="F479" s="19"/>
      <c r="G479" s="19"/>
    </row>
    <row r="480" spans="6:7" ht="12.75" x14ac:dyDescent="0.15">
      <c r="F480" s="19"/>
      <c r="G480" s="19"/>
    </row>
    <row r="481" spans="6:7" ht="12.75" x14ac:dyDescent="0.15">
      <c r="F481" s="19"/>
      <c r="G481" s="19"/>
    </row>
    <row r="482" spans="6:7" ht="12.75" x14ac:dyDescent="0.15">
      <c r="F482" s="19"/>
      <c r="G482" s="19"/>
    </row>
    <row r="483" spans="6:7" ht="12.75" x14ac:dyDescent="0.15">
      <c r="F483" s="19"/>
      <c r="G483" s="19"/>
    </row>
    <row r="484" spans="6:7" ht="12.75" x14ac:dyDescent="0.15">
      <c r="F484" s="19"/>
      <c r="G484" s="19"/>
    </row>
    <row r="485" spans="6:7" ht="12.75" x14ac:dyDescent="0.15">
      <c r="F485" s="19"/>
      <c r="G485" s="19"/>
    </row>
    <row r="486" spans="6:7" ht="12.75" x14ac:dyDescent="0.15">
      <c r="F486" s="19"/>
      <c r="G486" s="19"/>
    </row>
    <row r="487" spans="6:7" ht="12.75" x14ac:dyDescent="0.15">
      <c r="F487" s="19"/>
      <c r="G487" s="19"/>
    </row>
    <row r="488" spans="6:7" ht="12.75" x14ac:dyDescent="0.15">
      <c r="F488" s="19"/>
      <c r="G488" s="19"/>
    </row>
    <row r="489" spans="6:7" ht="12.75" x14ac:dyDescent="0.15">
      <c r="F489" s="19"/>
      <c r="G489" s="19"/>
    </row>
    <row r="490" spans="6:7" ht="12.75" x14ac:dyDescent="0.15">
      <c r="F490" s="19"/>
      <c r="G490" s="19"/>
    </row>
    <row r="491" spans="6:7" ht="12.75" x14ac:dyDescent="0.15">
      <c r="F491" s="19"/>
      <c r="G491" s="19"/>
    </row>
    <row r="492" spans="6:7" ht="12.75" x14ac:dyDescent="0.15">
      <c r="F492" s="19"/>
      <c r="G492" s="19"/>
    </row>
    <row r="493" spans="6:7" ht="12.75" x14ac:dyDescent="0.15">
      <c r="F493" s="19"/>
      <c r="G493" s="19"/>
    </row>
    <row r="494" spans="6:7" ht="12.75" x14ac:dyDescent="0.15">
      <c r="F494" s="19"/>
      <c r="G494" s="19"/>
    </row>
    <row r="495" spans="6:7" ht="12.75" x14ac:dyDescent="0.15">
      <c r="F495" s="19"/>
      <c r="G495" s="19"/>
    </row>
    <row r="496" spans="6:7" ht="12.75" x14ac:dyDescent="0.15">
      <c r="F496" s="19"/>
      <c r="G496" s="19"/>
    </row>
    <row r="497" spans="6:7" ht="12.75" x14ac:dyDescent="0.15">
      <c r="F497" s="19"/>
      <c r="G497" s="19"/>
    </row>
    <row r="498" spans="6:7" ht="12.75" x14ac:dyDescent="0.15">
      <c r="F498" s="19"/>
      <c r="G498" s="19"/>
    </row>
    <row r="499" spans="6:7" ht="12.75" x14ac:dyDescent="0.15">
      <c r="F499" s="19"/>
      <c r="G499" s="19"/>
    </row>
    <row r="500" spans="6:7" ht="12.75" x14ac:dyDescent="0.15">
      <c r="F500" s="19"/>
      <c r="G500" s="19"/>
    </row>
    <row r="501" spans="6:7" ht="12.75" x14ac:dyDescent="0.15">
      <c r="F501" s="19"/>
      <c r="G501" s="19"/>
    </row>
    <row r="502" spans="6:7" ht="12.75" x14ac:dyDescent="0.15">
      <c r="F502" s="19"/>
      <c r="G502" s="19"/>
    </row>
    <row r="503" spans="6:7" ht="12.75" x14ac:dyDescent="0.15">
      <c r="F503" s="19"/>
      <c r="G503" s="19"/>
    </row>
    <row r="504" spans="6:7" ht="12.75" x14ac:dyDescent="0.15">
      <c r="F504" s="19"/>
      <c r="G504" s="19"/>
    </row>
    <row r="505" spans="6:7" ht="12.75" x14ac:dyDescent="0.15">
      <c r="F505" s="19"/>
      <c r="G505" s="19"/>
    </row>
    <row r="506" spans="6:7" ht="12.75" x14ac:dyDescent="0.15">
      <c r="F506" s="19"/>
      <c r="G506" s="19"/>
    </row>
    <row r="507" spans="6:7" ht="12.75" x14ac:dyDescent="0.15">
      <c r="F507" s="19"/>
      <c r="G507" s="19"/>
    </row>
    <row r="508" spans="6:7" ht="12.75" x14ac:dyDescent="0.15">
      <c r="F508" s="19"/>
      <c r="G508" s="19"/>
    </row>
    <row r="509" spans="6:7" ht="12.75" x14ac:dyDescent="0.15">
      <c r="F509" s="19"/>
      <c r="G509" s="19"/>
    </row>
    <row r="510" spans="6:7" ht="12.75" x14ac:dyDescent="0.15">
      <c r="F510" s="19"/>
      <c r="G510" s="19"/>
    </row>
    <row r="511" spans="6:7" ht="12.75" x14ac:dyDescent="0.15">
      <c r="F511" s="19"/>
      <c r="G511" s="19"/>
    </row>
    <row r="512" spans="6:7" ht="12.75" x14ac:dyDescent="0.15">
      <c r="F512" s="19"/>
      <c r="G512" s="19"/>
    </row>
    <row r="513" spans="6:7" ht="12.75" x14ac:dyDescent="0.15">
      <c r="F513" s="19"/>
      <c r="G513" s="19"/>
    </row>
    <row r="514" spans="6:7" ht="12.75" x14ac:dyDescent="0.15">
      <c r="F514" s="19"/>
      <c r="G514" s="19"/>
    </row>
    <row r="515" spans="6:7" ht="12.75" x14ac:dyDescent="0.15">
      <c r="F515" s="19"/>
      <c r="G515" s="19"/>
    </row>
    <row r="516" spans="6:7" ht="12.75" x14ac:dyDescent="0.15">
      <c r="F516" s="19"/>
      <c r="G516" s="19"/>
    </row>
    <row r="517" spans="6:7" ht="12.75" x14ac:dyDescent="0.15">
      <c r="F517" s="19"/>
      <c r="G517" s="19"/>
    </row>
    <row r="518" spans="6:7" ht="12.75" x14ac:dyDescent="0.15">
      <c r="F518" s="19"/>
      <c r="G518" s="19"/>
    </row>
    <row r="519" spans="6:7" ht="12.75" x14ac:dyDescent="0.15">
      <c r="F519" s="19"/>
      <c r="G519" s="19"/>
    </row>
    <row r="520" spans="6:7" ht="12.75" x14ac:dyDescent="0.15">
      <c r="F520" s="19"/>
      <c r="G520" s="19"/>
    </row>
    <row r="521" spans="6:7" ht="12.75" x14ac:dyDescent="0.15">
      <c r="F521" s="19"/>
      <c r="G521" s="19"/>
    </row>
    <row r="522" spans="6:7" ht="12.75" x14ac:dyDescent="0.15">
      <c r="F522" s="19"/>
      <c r="G522" s="19"/>
    </row>
    <row r="523" spans="6:7" ht="12.75" x14ac:dyDescent="0.15">
      <c r="F523" s="19"/>
      <c r="G523" s="19"/>
    </row>
    <row r="524" spans="6:7" ht="12.75" x14ac:dyDescent="0.15">
      <c r="F524" s="19"/>
      <c r="G524" s="19"/>
    </row>
    <row r="525" spans="6:7" ht="12.75" x14ac:dyDescent="0.15">
      <c r="F525" s="19"/>
      <c r="G525" s="19"/>
    </row>
    <row r="526" spans="6:7" ht="12.75" x14ac:dyDescent="0.15">
      <c r="F526" s="19"/>
      <c r="G526" s="19"/>
    </row>
    <row r="527" spans="6:7" ht="12.75" x14ac:dyDescent="0.15">
      <c r="F527" s="19"/>
      <c r="G527" s="19"/>
    </row>
    <row r="528" spans="6:7" ht="12.75" x14ac:dyDescent="0.15">
      <c r="F528" s="19"/>
      <c r="G528" s="19"/>
    </row>
    <row r="529" spans="6:7" ht="12.75" x14ac:dyDescent="0.15">
      <c r="F529" s="19"/>
      <c r="G529" s="19"/>
    </row>
    <row r="530" spans="6:7" ht="12.75" x14ac:dyDescent="0.15">
      <c r="F530" s="19"/>
      <c r="G530" s="19"/>
    </row>
    <row r="531" spans="6:7" ht="12.75" x14ac:dyDescent="0.15">
      <c r="F531" s="19"/>
      <c r="G531" s="19"/>
    </row>
    <row r="532" spans="6:7" ht="12.75" x14ac:dyDescent="0.15">
      <c r="F532" s="19"/>
      <c r="G532" s="19"/>
    </row>
    <row r="533" spans="6:7" ht="12.75" x14ac:dyDescent="0.15">
      <c r="F533" s="19"/>
      <c r="G533" s="19"/>
    </row>
    <row r="534" spans="6:7" ht="12.75" x14ac:dyDescent="0.15">
      <c r="F534" s="19"/>
      <c r="G534" s="19"/>
    </row>
    <row r="535" spans="6:7" ht="12.75" x14ac:dyDescent="0.15">
      <c r="F535" s="19"/>
      <c r="G535" s="19"/>
    </row>
    <row r="536" spans="6:7" ht="12.75" x14ac:dyDescent="0.15">
      <c r="F536" s="19"/>
      <c r="G536" s="19"/>
    </row>
    <row r="537" spans="6:7" ht="12.75" x14ac:dyDescent="0.15">
      <c r="F537" s="19"/>
      <c r="G537" s="19"/>
    </row>
    <row r="538" spans="6:7" ht="12.75" x14ac:dyDescent="0.15">
      <c r="F538" s="19"/>
      <c r="G538" s="19"/>
    </row>
    <row r="539" spans="6:7" ht="12.75" x14ac:dyDescent="0.15">
      <c r="F539" s="19"/>
      <c r="G539" s="19"/>
    </row>
    <row r="540" spans="6:7" ht="12.75" x14ac:dyDescent="0.15">
      <c r="F540" s="19"/>
      <c r="G540" s="19"/>
    </row>
    <row r="541" spans="6:7" ht="12.75" x14ac:dyDescent="0.15">
      <c r="F541" s="19"/>
      <c r="G541" s="19"/>
    </row>
    <row r="542" spans="6:7" ht="12.75" x14ac:dyDescent="0.15">
      <c r="F542" s="19"/>
      <c r="G542" s="19"/>
    </row>
    <row r="543" spans="6:7" ht="12.75" x14ac:dyDescent="0.15">
      <c r="F543" s="19"/>
      <c r="G543" s="19"/>
    </row>
    <row r="544" spans="6:7" ht="12.75" x14ac:dyDescent="0.15">
      <c r="F544" s="19"/>
      <c r="G544" s="19"/>
    </row>
    <row r="545" spans="6:7" ht="12.75" x14ac:dyDescent="0.15">
      <c r="F545" s="19"/>
      <c r="G545" s="19"/>
    </row>
    <row r="546" spans="6:7" ht="12.75" x14ac:dyDescent="0.15">
      <c r="F546" s="19"/>
      <c r="G546" s="19"/>
    </row>
    <row r="547" spans="6:7" ht="12.75" x14ac:dyDescent="0.15">
      <c r="F547" s="19"/>
      <c r="G547" s="19"/>
    </row>
    <row r="548" spans="6:7" ht="12.75" x14ac:dyDescent="0.15">
      <c r="F548" s="19"/>
      <c r="G548" s="19"/>
    </row>
    <row r="549" spans="6:7" ht="12.75" x14ac:dyDescent="0.15">
      <c r="F549" s="19"/>
      <c r="G549" s="19"/>
    </row>
    <row r="550" spans="6:7" ht="12.75" x14ac:dyDescent="0.15">
      <c r="F550" s="19"/>
      <c r="G550" s="19"/>
    </row>
    <row r="551" spans="6:7" ht="12.75" x14ac:dyDescent="0.15">
      <c r="F551" s="19"/>
      <c r="G551" s="19"/>
    </row>
    <row r="552" spans="6:7" ht="12.75" x14ac:dyDescent="0.15">
      <c r="F552" s="19"/>
      <c r="G552" s="19"/>
    </row>
    <row r="553" spans="6:7" ht="12.75" x14ac:dyDescent="0.15">
      <c r="F553" s="19"/>
      <c r="G553" s="19"/>
    </row>
    <row r="554" spans="6:7" ht="12.75" x14ac:dyDescent="0.15">
      <c r="F554" s="19"/>
      <c r="G554" s="19"/>
    </row>
    <row r="555" spans="6:7" ht="12.75" x14ac:dyDescent="0.15">
      <c r="F555" s="19"/>
      <c r="G555" s="19"/>
    </row>
    <row r="556" spans="6:7" ht="12.75" x14ac:dyDescent="0.15">
      <c r="F556" s="19"/>
      <c r="G556" s="19"/>
    </row>
    <row r="557" spans="6:7" ht="12.75" x14ac:dyDescent="0.15">
      <c r="F557" s="19"/>
      <c r="G557" s="19"/>
    </row>
    <row r="558" spans="6:7" ht="12.75" x14ac:dyDescent="0.15">
      <c r="F558" s="19"/>
      <c r="G558" s="19"/>
    </row>
    <row r="559" spans="6:7" ht="12.75" x14ac:dyDescent="0.15">
      <c r="F559" s="19"/>
      <c r="G559" s="19"/>
    </row>
    <row r="560" spans="6:7" ht="12.75" x14ac:dyDescent="0.15">
      <c r="F560" s="19"/>
      <c r="G560" s="19"/>
    </row>
    <row r="561" spans="6:7" ht="12.75" x14ac:dyDescent="0.15">
      <c r="F561" s="19"/>
      <c r="G561" s="19"/>
    </row>
    <row r="562" spans="6:7" ht="12.75" x14ac:dyDescent="0.15">
      <c r="F562" s="19"/>
      <c r="G562" s="19"/>
    </row>
    <row r="563" spans="6:7" ht="12.75" x14ac:dyDescent="0.15">
      <c r="F563" s="19"/>
      <c r="G563" s="19"/>
    </row>
    <row r="564" spans="6:7" ht="12.75" x14ac:dyDescent="0.15">
      <c r="F564" s="19"/>
      <c r="G564" s="19"/>
    </row>
    <row r="565" spans="6:7" ht="12.75" x14ac:dyDescent="0.15">
      <c r="F565" s="19"/>
      <c r="G565" s="19"/>
    </row>
    <row r="566" spans="6:7" ht="12.75" x14ac:dyDescent="0.15">
      <c r="F566" s="19"/>
      <c r="G566" s="19"/>
    </row>
    <row r="567" spans="6:7" ht="12.75" x14ac:dyDescent="0.15">
      <c r="F567" s="19"/>
      <c r="G567" s="19"/>
    </row>
    <row r="568" spans="6:7" ht="12.75" x14ac:dyDescent="0.15">
      <c r="F568" s="19"/>
      <c r="G568" s="19"/>
    </row>
    <row r="569" spans="6:7" ht="12.75" x14ac:dyDescent="0.15">
      <c r="F569" s="19"/>
      <c r="G569" s="19"/>
    </row>
    <row r="570" spans="6:7" ht="12.75" x14ac:dyDescent="0.15">
      <c r="F570" s="19"/>
      <c r="G570" s="19"/>
    </row>
    <row r="571" spans="6:7" ht="12.75" x14ac:dyDescent="0.15">
      <c r="F571" s="19"/>
      <c r="G571" s="19"/>
    </row>
    <row r="572" spans="6:7" ht="12.75" x14ac:dyDescent="0.15">
      <c r="F572" s="19"/>
      <c r="G572" s="19"/>
    </row>
    <row r="573" spans="6:7" ht="12.75" x14ac:dyDescent="0.15">
      <c r="F573" s="19"/>
      <c r="G573" s="19"/>
    </row>
    <row r="574" spans="6:7" ht="12.75" x14ac:dyDescent="0.15">
      <c r="F574" s="19"/>
      <c r="G574" s="19"/>
    </row>
    <row r="575" spans="6:7" ht="12.75" x14ac:dyDescent="0.15">
      <c r="F575" s="19"/>
      <c r="G575" s="19"/>
    </row>
    <row r="576" spans="6:7" ht="12.75" x14ac:dyDescent="0.15">
      <c r="F576" s="19"/>
      <c r="G576" s="19"/>
    </row>
    <row r="577" spans="6:7" ht="12.75" x14ac:dyDescent="0.15">
      <c r="F577" s="19"/>
      <c r="G577" s="19"/>
    </row>
    <row r="578" spans="6:7" ht="12.75" x14ac:dyDescent="0.15">
      <c r="F578" s="19"/>
      <c r="G578" s="19"/>
    </row>
    <row r="579" spans="6:7" ht="12.75" x14ac:dyDescent="0.15">
      <c r="F579" s="19"/>
      <c r="G579" s="19"/>
    </row>
    <row r="580" spans="6:7" ht="12.75" x14ac:dyDescent="0.15">
      <c r="F580" s="19"/>
      <c r="G580" s="19"/>
    </row>
    <row r="581" spans="6:7" ht="12.75" x14ac:dyDescent="0.15">
      <c r="F581" s="19"/>
      <c r="G581" s="19"/>
    </row>
    <row r="582" spans="6:7" ht="12.75" x14ac:dyDescent="0.15">
      <c r="F582" s="19"/>
      <c r="G582" s="19"/>
    </row>
    <row r="583" spans="6:7" ht="12.75" x14ac:dyDescent="0.15">
      <c r="F583" s="19"/>
      <c r="G583" s="19"/>
    </row>
    <row r="584" spans="6:7" ht="12.75" x14ac:dyDescent="0.15">
      <c r="F584" s="19"/>
      <c r="G584" s="19"/>
    </row>
    <row r="585" spans="6:7" ht="12.75" x14ac:dyDescent="0.15">
      <c r="F585" s="19"/>
      <c r="G585" s="19"/>
    </row>
    <row r="586" spans="6:7" ht="12.75" x14ac:dyDescent="0.15">
      <c r="F586" s="19"/>
      <c r="G586" s="19"/>
    </row>
    <row r="587" spans="6:7" ht="12.75" x14ac:dyDescent="0.15">
      <c r="F587" s="19"/>
      <c r="G587" s="19"/>
    </row>
    <row r="588" spans="6:7" ht="12.75" x14ac:dyDescent="0.15">
      <c r="F588" s="19"/>
      <c r="G588" s="19"/>
    </row>
    <row r="589" spans="6:7" ht="12.75" x14ac:dyDescent="0.15">
      <c r="F589" s="19"/>
      <c r="G589" s="19"/>
    </row>
    <row r="590" spans="6:7" ht="12.75" x14ac:dyDescent="0.15">
      <c r="F590" s="19"/>
      <c r="G590" s="19"/>
    </row>
    <row r="591" spans="6:7" ht="12.75" x14ac:dyDescent="0.15">
      <c r="F591" s="19"/>
      <c r="G591" s="19"/>
    </row>
    <row r="592" spans="6:7" ht="12.75" x14ac:dyDescent="0.15">
      <c r="F592" s="19"/>
      <c r="G592" s="19"/>
    </row>
    <row r="593" spans="6:7" ht="12.75" x14ac:dyDescent="0.15">
      <c r="F593" s="19"/>
      <c r="G593" s="19"/>
    </row>
    <row r="594" spans="6:7" ht="12.75" x14ac:dyDescent="0.15">
      <c r="F594" s="19"/>
      <c r="G594" s="19"/>
    </row>
    <row r="595" spans="6:7" ht="12.75" x14ac:dyDescent="0.15">
      <c r="F595" s="19"/>
      <c r="G595" s="19"/>
    </row>
    <row r="596" spans="6:7" ht="12.75" x14ac:dyDescent="0.15">
      <c r="F596" s="19"/>
      <c r="G596" s="19"/>
    </row>
    <row r="597" spans="6:7" ht="12.75" x14ac:dyDescent="0.15">
      <c r="F597" s="19"/>
      <c r="G597" s="19"/>
    </row>
    <row r="598" spans="6:7" ht="12.75" x14ac:dyDescent="0.15">
      <c r="F598" s="19"/>
      <c r="G598" s="19"/>
    </row>
    <row r="599" spans="6:7" ht="12.75" x14ac:dyDescent="0.15">
      <c r="F599" s="19"/>
      <c r="G599" s="19"/>
    </row>
    <row r="600" spans="6:7" ht="12.75" x14ac:dyDescent="0.15">
      <c r="F600" s="19"/>
      <c r="G600" s="19"/>
    </row>
    <row r="601" spans="6:7" ht="12.75" x14ac:dyDescent="0.15">
      <c r="F601" s="19"/>
      <c r="G601" s="19"/>
    </row>
    <row r="602" spans="6:7" ht="12.75" x14ac:dyDescent="0.15">
      <c r="F602" s="19"/>
      <c r="G602" s="19"/>
    </row>
    <row r="603" spans="6:7" ht="12.75" x14ac:dyDescent="0.15">
      <c r="F603" s="19"/>
      <c r="G603" s="19"/>
    </row>
    <row r="604" spans="6:7" ht="12.75" x14ac:dyDescent="0.15">
      <c r="F604" s="19"/>
      <c r="G604" s="19"/>
    </row>
    <row r="605" spans="6:7" ht="12.75" x14ac:dyDescent="0.15">
      <c r="F605" s="19"/>
      <c r="G605" s="19"/>
    </row>
    <row r="606" spans="6:7" ht="12.75" x14ac:dyDescent="0.15">
      <c r="F606" s="19"/>
      <c r="G606" s="19"/>
    </row>
    <row r="607" spans="6:7" ht="12.75" x14ac:dyDescent="0.15">
      <c r="F607" s="19"/>
      <c r="G607" s="19"/>
    </row>
    <row r="608" spans="6:7" ht="12.75" x14ac:dyDescent="0.15">
      <c r="F608" s="19"/>
      <c r="G608" s="19"/>
    </row>
    <row r="609" spans="6:7" ht="12.75" x14ac:dyDescent="0.15">
      <c r="F609" s="19"/>
      <c r="G609" s="19"/>
    </row>
    <row r="610" spans="6:7" ht="12.75" x14ac:dyDescent="0.15">
      <c r="F610" s="19"/>
      <c r="G610" s="19"/>
    </row>
    <row r="611" spans="6:7" ht="12.75" x14ac:dyDescent="0.15">
      <c r="F611" s="19"/>
      <c r="G611" s="19"/>
    </row>
    <row r="612" spans="6:7" ht="12.75" x14ac:dyDescent="0.15">
      <c r="F612" s="19"/>
      <c r="G612" s="19"/>
    </row>
    <row r="613" spans="6:7" ht="12.75" x14ac:dyDescent="0.15">
      <c r="F613" s="19"/>
      <c r="G613" s="19"/>
    </row>
    <row r="614" spans="6:7" ht="12.75" x14ac:dyDescent="0.15">
      <c r="F614" s="19"/>
      <c r="G614" s="19"/>
    </row>
    <row r="615" spans="6:7" ht="12.75" x14ac:dyDescent="0.15">
      <c r="F615" s="19"/>
      <c r="G615" s="19"/>
    </row>
    <row r="616" spans="6:7" ht="12.75" x14ac:dyDescent="0.15">
      <c r="F616" s="19"/>
      <c r="G616" s="19"/>
    </row>
    <row r="617" spans="6:7" ht="12.75" x14ac:dyDescent="0.15">
      <c r="F617" s="19"/>
      <c r="G617" s="19"/>
    </row>
    <row r="618" spans="6:7" ht="12.75" x14ac:dyDescent="0.15">
      <c r="F618" s="19"/>
      <c r="G618" s="19"/>
    </row>
    <row r="619" spans="6:7" ht="12.75" x14ac:dyDescent="0.15">
      <c r="F619" s="19"/>
      <c r="G619" s="19"/>
    </row>
    <row r="620" spans="6:7" ht="12.75" x14ac:dyDescent="0.15">
      <c r="F620" s="19"/>
      <c r="G620" s="19"/>
    </row>
    <row r="621" spans="6:7" ht="12.75" x14ac:dyDescent="0.15">
      <c r="F621" s="19"/>
      <c r="G621" s="19"/>
    </row>
    <row r="622" spans="6:7" ht="12.75" x14ac:dyDescent="0.15">
      <c r="F622" s="19"/>
      <c r="G622" s="19"/>
    </row>
    <row r="623" spans="6:7" ht="12.75" x14ac:dyDescent="0.15">
      <c r="F623" s="19"/>
      <c r="G623" s="19"/>
    </row>
    <row r="624" spans="6:7" ht="12.75" x14ac:dyDescent="0.15">
      <c r="F624" s="19"/>
      <c r="G624" s="19"/>
    </row>
    <row r="625" spans="6:7" ht="12.75" x14ac:dyDescent="0.15">
      <c r="F625" s="19"/>
      <c r="G625" s="19"/>
    </row>
    <row r="626" spans="6:7" ht="12.75" x14ac:dyDescent="0.15">
      <c r="F626" s="19"/>
      <c r="G626" s="19"/>
    </row>
    <row r="627" spans="6:7" ht="12.75" x14ac:dyDescent="0.15">
      <c r="F627" s="19"/>
      <c r="G627" s="19"/>
    </row>
    <row r="628" spans="6:7" ht="12.75" x14ac:dyDescent="0.15">
      <c r="F628" s="19"/>
      <c r="G628" s="19"/>
    </row>
    <row r="629" spans="6:7" ht="12.75" x14ac:dyDescent="0.15">
      <c r="F629" s="19"/>
      <c r="G629" s="19"/>
    </row>
    <row r="630" spans="6:7" ht="12.75" x14ac:dyDescent="0.15">
      <c r="F630" s="19"/>
      <c r="G630" s="19"/>
    </row>
    <row r="631" spans="6:7" ht="12.75" x14ac:dyDescent="0.15">
      <c r="F631" s="19"/>
      <c r="G631" s="19"/>
    </row>
    <row r="632" spans="6:7" ht="12.75" x14ac:dyDescent="0.15">
      <c r="F632" s="19"/>
      <c r="G632" s="19"/>
    </row>
    <row r="633" spans="6:7" ht="12.75" x14ac:dyDescent="0.15">
      <c r="F633" s="19"/>
      <c r="G633" s="19"/>
    </row>
    <row r="634" spans="6:7" ht="12.75" x14ac:dyDescent="0.15">
      <c r="F634" s="19"/>
      <c r="G634" s="19"/>
    </row>
    <row r="635" spans="6:7" ht="12.75" x14ac:dyDescent="0.15">
      <c r="F635" s="19"/>
      <c r="G635" s="19"/>
    </row>
    <row r="636" spans="6:7" ht="12.75" x14ac:dyDescent="0.15">
      <c r="F636" s="19"/>
      <c r="G636" s="19"/>
    </row>
    <row r="637" spans="6:7" ht="12.75" x14ac:dyDescent="0.15">
      <c r="F637" s="19"/>
      <c r="G637" s="19"/>
    </row>
    <row r="638" spans="6:7" ht="12.75" x14ac:dyDescent="0.15">
      <c r="F638" s="19"/>
      <c r="G638" s="19"/>
    </row>
    <row r="639" spans="6:7" ht="12.75" x14ac:dyDescent="0.15">
      <c r="F639" s="19"/>
      <c r="G639" s="19"/>
    </row>
    <row r="640" spans="6:7" ht="12.75" x14ac:dyDescent="0.15">
      <c r="F640" s="19"/>
      <c r="G640" s="19"/>
    </row>
    <row r="641" spans="6:7" ht="12.75" x14ac:dyDescent="0.15">
      <c r="F641" s="19"/>
      <c r="G641" s="19"/>
    </row>
    <row r="642" spans="6:7" ht="12.75" x14ac:dyDescent="0.15">
      <c r="F642" s="19"/>
      <c r="G642" s="19"/>
    </row>
    <row r="643" spans="6:7" ht="12.75" x14ac:dyDescent="0.15">
      <c r="F643" s="19"/>
      <c r="G643" s="19"/>
    </row>
    <row r="644" spans="6:7" ht="12.75" x14ac:dyDescent="0.15">
      <c r="F644" s="19"/>
      <c r="G644" s="19"/>
    </row>
    <row r="645" spans="6:7" ht="12.75" x14ac:dyDescent="0.15">
      <c r="F645" s="19"/>
      <c r="G645" s="19"/>
    </row>
    <row r="646" spans="6:7" ht="12.75" x14ac:dyDescent="0.15">
      <c r="F646" s="19"/>
      <c r="G646" s="19"/>
    </row>
    <row r="647" spans="6:7" ht="12.75" x14ac:dyDescent="0.15">
      <c r="F647" s="19"/>
      <c r="G647" s="19"/>
    </row>
    <row r="648" spans="6:7" ht="12.75" x14ac:dyDescent="0.15">
      <c r="F648" s="19"/>
      <c r="G648" s="19"/>
    </row>
    <row r="649" spans="6:7" ht="12.75" x14ac:dyDescent="0.15">
      <c r="F649" s="19"/>
      <c r="G649" s="19"/>
    </row>
    <row r="650" spans="6:7" ht="12.75" x14ac:dyDescent="0.15">
      <c r="F650" s="19"/>
      <c r="G650" s="19"/>
    </row>
    <row r="651" spans="6:7" ht="12.75" x14ac:dyDescent="0.15">
      <c r="F651" s="19"/>
      <c r="G651" s="19"/>
    </row>
    <row r="652" spans="6:7" ht="12.75" x14ac:dyDescent="0.15">
      <c r="F652" s="19"/>
      <c r="G652" s="19"/>
    </row>
    <row r="653" spans="6:7" ht="12.75" x14ac:dyDescent="0.15">
      <c r="F653" s="19"/>
      <c r="G653" s="19"/>
    </row>
    <row r="654" spans="6:7" ht="12.75" x14ac:dyDescent="0.15">
      <c r="F654" s="19"/>
      <c r="G654" s="19"/>
    </row>
    <row r="655" spans="6:7" ht="12.75" x14ac:dyDescent="0.15">
      <c r="F655" s="19"/>
      <c r="G655" s="19"/>
    </row>
    <row r="656" spans="6:7" ht="12.75" x14ac:dyDescent="0.15">
      <c r="F656" s="19"/>
      <c r="G656" s="19"/>
    </row>
    <row r="657" spans="6:7" ht="12.75" x14ac:dyDescent="0.15">
      <c r="F657" s="19"/>
      <c r="G657" s="19"/>
    </row>
    <row r="658" spans="6:7" ht="12.75" x14ac:dyDescent="0.15">
      <c r="F658" s="19"/>
      <c r="G658" s="19"/>
    </row>
    <row r="659" spans="6:7" ht="12.75" x14ac:dyDescent="0.15">
      <c r="F659" s="19"/>
      <c r="G659" s="19"/>
    </row>
    <row r="660" spans="6:7" ht="12.75" x14ac:dyDescent="0.15">
      <c r="F660" s="19"/>
      <c r="G660" s="19"/>
    </row>
    <row r="661" spans="6:7" ht="12.75" x14ac:dyDescent="0.15">
      <c r="F661" s="19"/>
      <c r="G661" s="19"/>
    </row>
    <row r="662" spans="6:7" ht="12.75" x14ac:dyDescent="0.15">
      <c r="F662" s="19"/>
      <c r="G662" s="19"/>
    </row>
    <row r="663" spans="6:7" ht="12.75" x14ac:dyDescent="0.15">
      <c r="F663" s="19"/>
      <c r="G663" s="19"/>
    </row>
    <row r="664" spans="6:7" ht="12.75" x14ac:dyDescent="0.15">
      <c r="F664" s="19"/>
      <c r="G664" s="19"/>
    </row>
    <row r="665" spans="6:7" ht="12.75" x14ac:dyDescent="0.15">
      <c r="F665" s="19"/>
      <c r="G665" s="19"/>
    </row>
    <row r="666" spans="6:7" ht="12.75" x14ac:dyDescent="0.15">
      <c r="F666" s="19"/>
      <c r="G666" s="19"/>
    </row>
    <row r="667" spans="6:7" ht="12.75" x14ac:dyDescent="0.15">
      <c r="F667" s="19"/>
      <c r="G667" s="19"/>
    </row>
    <row r="668" spans="6:7" ht="12.75" x14ac:dyDescent="0.15">
      <c r="F668" s="19"/>
      <c r="G668" s="19"/>
    </row>
    <row r="669" spans="6:7" ht="12.75" x14ac:dyDescent="0.15">
      <c r="F669" s="19"/>
      <c r="G669" s="19"/>
    </row>
    <row r="670" spans="6:7" ht="12.75" x14ac:dyDescent="0.15">
      <c r="F670" s="19"/>
      <c r="G670" s="19"/>
    </row>
    <row r="671" spans="6:7" ht="12.75" x14ac:dyDescent="0.15">
      <c r="F671" s="19"/>
      <c r="G671" s="19"/>
    </row>
    <row r="672" spans="6:7" ht="12.75" x14ac:dyDescent="0.15">
      <c r="F672" s="19"/>
      <c r="G672" s="19"/>
    </row>
    <row r="673" spans="6:7" ht="12.75" x14ac:dyDescent="0.15">
      <c r="F673" s="19"/>
      <c r="G673" s="19"/>
    </row>
    <row r="674" spans="6:7" ht="12.75" x14ac:dyDescent="0.15">
      <c r="F674" s="19"/>
      <c r="G674" s="19"/>
    </row>
    <row r="675" spans="6:7" ht="12.75" x14ac:dyDescent="0.15">
      <c r="F675" s="19"/>
      <c r="G675" s="19"/>
    </row>
    <row r="676" spans="6:7" ht="12.75" x14ac:dyDescent="0.15">
      <c r="F676" s="19"/>
      <c r="G676" s="19"/>
    </row>
    <row r="677" spans="6:7" ht="12.75" x14ac:dyDescent="0.15">
      <c r="F677" s="19"/>
      <c r="G677" s="19"/>
    </row>
    <row r="678" spans="6:7" ht="12.75" x14ac:dyDescent="0.15">
      <c r="F678" s="19"/>
      <c r="G678" s="19"/>
    </row>
    <row r="679" spans="6:7" ht="12.75" x14ac:dyDescent="0.15">
      <c r="F679" s="19"/>
      <c r="G679" s="19"/>
    </row>
    <row r="680" spans="6:7" ht="12.75" x14ac:dyDescent="0.15">
      <c r="F680" s="19"/>
      <c r="G680" s="19"/>
    </row>
    <row r="681" spans="6:7" ht="12.75" x14ac:dyDescent="0.15">
      <c r="F681" s="19"/>
      <c r="G681" s="19"/>
    </row>
    <row r="682" spans="6:7" ht="12.75" x14ac:dyDescent="0.15">
      <c r="F682" s="19"/>
      <c r="G682" s="19"/>
    </row>
    <row r="683" spans="6:7" ht="12.75" x14ac:dyDescent="0.15">
      <c r="F683" s="19"/>
      <c r="G683" s="19"/>
    </row>
    <row r="684" spans="6:7" ht="12.75" x14ac:dyDescent="0.15">
      <c r="F684" s="19"/>
      <c r="G684" s="19"/>
    </row>
    <row r="685" spans="6:7" ht="12.75" x14ac:dyDescent="0.15">
      <c r="F685" s="19"/>
      <c r="G685" s="19"/>
    </row>
    <row r="686" spans="6:7" ht="12.75" x14ac:dyDescent="0.15">
      <c r="F686" s="19"/>
      <c r="G686" s="19"/>
    </row>
    <row r="687" spans="6:7" ht="12.75" x14ac:dyDescent="0.15">
      <c r="F687" s="19"/>
      <c r="G687" s="19"/>
    </row>
    <row r="688" spans="6:7" ht="12.75" x14ac:dyDescent="0.15">
      <c r="F688" s="19"/>
      <c r="G688" s="19"/>
    </row>
    <row r="689" spans="6:7" ht="12.75" x14ac:dyDescent="0.15">
      <c r="F689" s="19"/>
      <c r="G689" s="19"/>
    </row>
    <row r="690" spans="6:7" ht="12.75" x14ac:dyDescent="0.15">
      <c r="F690" s="19"/>
      <c r="G690" s="19"/>
    </row>
    <row r="691" spans="6:7" ht="12.75" x14ac:dyDescent="0.15">
      <c r="F691" s="19"/>
      <c r="G691" s="19"/>
    </row>
    <row r="692" spans="6:7" ht="12.75" x14ac:dyDescent="0.15">
      <c r="F692" s="19"/>
      <c r="G692" s="19"/>
    </row>
    <row r="693" spans="6:7" ht="12.75" x14ac:dyDescent="0.15">
      <c r="F693" s="19"/>
      <c r="G693" s="19"/>
    </row>
    <row r="694" spans="6:7" ht="12.75" x14ac:dyDescent="0.15">
      <c r="F694" s="19"/>
      <c r="G694" s="19"/>
    </row>
    <row r="695" spans="6:7" ht="12.75" x14ac:dyDescent="0.15">
      <c r="F695" s="19"/>
      <c r="G695" s="19"/>
    </row>
    <row r="696" spans="6:7" ht="12.75" x14ac:dyDescent="0.15">
      <c r="F696" s="19"/>
      <c r="G696" s="19"/>
    </row>
    <row r="697" spans="6:7" ht="12.75" x14ac:dyDescent="0.15">
      <c r="F697" s="19"/>
      <c r="G697" s="19"/>
    </row>
    <row r="698" spans="6:7" ht="12.75" x14ac:dyDescent="0.15">
      <c r="F698" s="19"/>
      <c r="G698" s="19"/>
    </row>
    <row r="699" spans="6:7" ht="12.75" x14ac:dyDescent="0.15">
      <c r="F699" s="19"/>
      <c r="G699" s="19"/>
    </row>
    <row r="700" spans="6:7" ht="12.75" x14ac:dyDescent="0.15">
      <c r="F700" s="19"/>
      <c r="G700" s="19"/>
    </row>
    <row r="701" spans="6:7" ht="12.75" x14ac:dyDescent="0.15">
      <c r="F701" s="19"/>
      <c r="G701" s="19"/>
    </row>
    <row r="702" spans="6:7" ht="12.75" x14ac:dyDescent="0.15">
      <c r="F702" s="19"/>
      <c r="G702" s="19"/>
    </row>
    <row r="703" spans="6:7" ht="12.75" x14ac:dyDescent="0.15">
      <c r="F703" s="19"/>
      <c r="G703" s="19"/>
    </row>
    <row r="704" spans="6:7" ht="12.75" x14ac:dyDescent="0.15">
      <c r="F704" s="19"/>
      <c r="G704" s="19"/>
    </row>
    <row r="705" spans="6:7" ht="12.75" x14ac:dyDescent="0.15">
      <c r="F705" s="19"/>
      <c r="G705" s="19"/>
    </row>
    <row r="706" spans="6:7" ht="12.75" x14ac:dyDescent="0.15">
      <c r="F706" s="19"/>
      <c r="G706" s="19"/>
    </row>
    <row r="707" spans="6:7" ht="12.75" x14ac:dyDescent="0.15">
      <c r="F707" s="19"/>
      <c r="G707" s="19"/>
    </row>
    <row r="708" spans="6:7" ht="12.75" x14ac:dyDescent="0.15">
      <c r="F708" s="19"/>
      <c r="G708" s="19"/>
    </row>
    <row r="709" spans="6:7" ht="12.75" x14ac:dyDescent="0.15">
      <c r="F709" s="19"/>
      <c r="G709" s="19"/>
    </row>
    <row r="710" spans="6:7" ht="12.75" x14ac:dyDescent="0.15">
      <c r="F710" s="19"/>
      <c r="G710" s="19"/>
    </row>
    <row r="711" spans="6:7" ht="12.75" x14ac:dyDescent="0.15">
      <c r="F711" s="19"/>
      <c r="G711" s="19"/>
    </row>
    <row r="712" spans="6:7" ht="12.75" x14ac:dyDescent="0.15">
      <c r="F712" s="19"/>
      <c r="G712" s="19"/>
    </row>
    <row r="713" spans="6:7" ht="12.75" x14ac:dyDescent="0.15">
      <c r="F713" s="19"/>
      <c r="G713" s="19"/>
    </row>
    <row r="714" spans="6:7" ht="12.75" x14ac:dyDescent="0.15">
      <c r="F714" s="19"/>
      <c r="G714" s="19"/>
    </row>
    <row r="715" spans="6:7" ht="12.75" x14ac:dyDescent="0.15">
      <c r="F715" s="19"/>
      <c r="G715" s="19"/>
    </row>
    <row r="716" spans="6:7" ht="12.75" x14ac:dyDescent="0.15">
      <c r="F716" s="19"/>
      <c r="G716" s="19"/>
    </row>
    <row r="717" spans="6:7" ht="12.75" x14ac:dyDescent="0.15">
      <c r="F717" s="19"/>
      <c r="G717" s="19"/>
    </row>
    <row r="718" spans="6:7" ht="12.75" x14ac:dyDescent="0.15">
      <c r="F718" s="19"/>
      <c r="G718" s="19"/>
    </row>
    <row r="719" spans="6:7" ht="12.75" x14ac:dyDescent="0.15">
      <c r="F719" s="19"/>
      <c r="G719" s="19"/>
    </row>
    <row r="720" spans="6:7" ht="12.75" x14ac:dyDescent="0.15">
      <c r="F720" s="19"/>
      <c r="G720" s="19"/>
    </row>
    <row r="721" spans="6:7" ht="12.75" x14ac:dyDescent="0.15">
      <c r="F721" s="19"/>
      <c r="G721" s="19"/>
    </row>
    <row r="722" spans="6:7" ht="12.75" x14ac:dyDescent="0.15">
      <c r="F722" s="19"/>
      <c r="G722" s="19"/>
    </row>
    <row r="723" spans="6:7" ht="12.75" x14ac:dyDescent="0.15">
      <c r="F723" s="19"/>
      <c r="G723" s="19"/>
    </row>
    <row r="724" spans="6:7" ht="12.75" x14ac:dyDescent="0.15">
      <c r="F724" s="19"/>
      <c r="G724" s="19"/>
    </row>
    <row r="725" spans="6:7" ht="12.75" x14ac:dyDescent="0.15">
      <c r="F725" s="19"/>
      <c r="G725" s="19"/>
    </row>
    <row r="726" spans="6:7" ht="12.75" x14ac:dyDescent="0.15">
      <c r="F726" s="19"/>
      <c r="G726" s="19"/>
    </row>
    <row r="727" spans="6:7" ht="12.75" x14ac:dyDescent="0.15">
      <c r="F727" s="19"/>
      <c r="G727" s="19"/>
    </row>
    <row r="728" spans="6:7" ht="12.75" x14ac:dyDescent="0.15">
      <c r="F728" s="19"/>
      <c r="G728" s="19"/>
    </row>
    <row r="729" spans="6:7" ht="12.75" x14ac:dyDescent="0.15">
      <c r="F729" s="19"/>
      <c r="G729" s="19"/>
    </row>
    <row r="730" spans="6:7" ht="12.75" x14ac:dyDescent="0.15">
      <c r="F730" s="19"/>
      <c r="G730" s="19"/>
    </row>
    <row r="731" spans="6:7" ht="12.75" x14ac:dyDescent="0.15">
      <c r="F731" s="19"/>
      <c r="G731" s="19"/>
    </row>
    <row r="732" spans="6:7" ht="12.75" x14ac:dyDescent="0.15">
      <c r="F732" s="19"/>
      <c r="G732" s="19"/>
    </row>
    <row r="733" spans="6:7" ht="12.75" x14ac:dyDescent="0.15">
      <c r="F733" s="19"/>
      <c r="G733" s="19"/>
    </row>
    <row r="734" spans="6:7" ht="12.75" x14ac:dyDescent="0.15">
      <c r="F734" s="19"/>
      <c r="G734" s="19"/>
    </row>
    <row r="735" spans="6:7" ht="12.75" x14ac:dyDescent="0.15">
      <c r="F735" s="19"/>
      <c r="G735" s="19"/>
    </row>
    <row r="736" spans="6:7" ht="12.75" x14ac:dyDescent="0.15">
      <c r="F736" s="19"/>
      <c r="G736" s="19"/>
    </row>
    <row r="737" spans="6:7" ht="12.75" x14ac:dyDescent="0.15">
      <c r="F737" s="19"/>
      <c r="G737" s="19"/>
    </row>
    <row r="738" spans="6:7" ht="12.75" x14ac:dyDescent="0.15">
      <c r="F738" s="19"/>
      <c r="G738" s="19"/>
    </row>
    <row r="739" spans="6:7" ht="12.75" x14ac:dyDescent="0.15">
      <c r="F739" s="19"/>
      <c r="G739" s="19"/>
    </row>
    <row r="740" spans="6:7" ht="12.75" x14ac:dyDescent="0.15">
      <c r="F740" s="19"/>
      <c r="G740" s="19"/>
    </row>
    <row r="741" spans="6:7" ht="12.75" x14ac:dyDescent="0.15">
      <c r="F741" s="19"/>
      <c r="G741" s="19"/>
    </row>
    <row r="742" spans="6:7" ht="12.75" x14ac:dyDescent="0.15">
      <c r="F742" s="19"/>
      <c r="G742" s="19"/>
    </row>
    <row r="743" spans="6:7" ht="12.75" x14ac:dyDescent="0.15">
      <c r="F743" s="19"/>
      <c r="G743" s="19"/>
    </row>
    <row r="744" spans="6:7" ht="12.75" x14ac:dyDescent="0.15">
      <c r="F744" s="19"/>
      <c r="G744" s="19"/>
    </row>
    <row r="745" spans="6:7" ht="12.75" x14ac:dyDescent="0.15">
      <c r="F745" s="19"/>
      <c r="G745" s="19"/>
    </row>
    <row r="746" spans="6:7" ht="12.75" x14ac:dyDescent="0.15">
      <c r="F746" s="19"/>
      <c r="G746" s="19"/>
    </row>
    <row r="747" spans="6:7" ht="12.75" x14ac:dyDescent="0.15">
      <c r="F747" s="19"/>
      <c r="G747" s="19"/>
    </row>
    <row r="748" spans="6:7" ht="12.75" x14ac:dyDescent="0.15">
      <c r="F748" s="19"/>
      <c r="G748" s="19"/>
    </row>
    <row r="749" spans="6:7" ht="12.75" x14ac:dyDescent="0.15">
      <c r="F749" s="19"/>
      <c r="G749" s="19"/>
    </row>
    <row r="750" spans="6:7" ht="12.75" x14ac:dyDescent="0.15">
      <c r="F750" s="19"/>
      <c r="G750" s="19"/>
    </row>
    <row r="751" spans="6:7" ht="12.75" x14ac:dyDescent="0.15">
      <c r="F751" s="19"/>
      <c r="G751" s="19"/>
    </row>
    <row r="752" spans="6:7" ht="12.75" x14ac:dyDescent="0.15">
      <c r="F752" s="19"/>
      <c r="G752" s="19"/>
    </row>
    <row r="753" spans="6:7" ht="12.75" x14ac:dyDescent="0.15">
      <c r="F753" s="19"/>
      <c r="G753" s="19"/>
    </row>
    <row r="754" spans="6:7" ht="12.75" x14ac:dyDescent="0.15">
      <c r="F754" s="19"/>
      <c r="G754" s="19"/>
    </row>
    <row r="755" spans="6:7" ht="12.75" x14ac:dyDescent="0.15">
      <c r="F755" s="19"/>
      <c r="G755" s="19"/>
    </row>
    <row r="756" spans="6:7" ht="12.75" x14ac:dyDescent="0.15">
      <c r="F756" s="19"/>
      <c r="G756" s="19"/>
    </row>
    <row r="757" spans="6:7" ht="12.75" x14ac:dyDescent="0.15">
      <c r="F757" s="19"/>
      <c r="G757" s="19"/>
    </row>
    <row r="758" spans="6:7" ht="12.75" x14ac:dyDescent="0.15">
      <c r="F758" s="19"/>
      <c r="G758" s="19"/>
    </row>
    <row r="759" spans="6:7" ht="12.75" x14ac:dyDescent="0.15">
      <c r="F759" s="19"/>
      <c r="G759" s="19"/>
    </row>
    <row r="760" spans="6:7" ht="12.75" x14ac:dyDescent="0.15">
      <c r="F760" s="19"/>
      <c r="G760" s="19"/>
    </row>
    <row r="761" spans="6:7" ht="12.75" x14ac:dyDescent="0.15">
      <c r="F761" s="19"/>
      <c r="G761" s="19"/>
    </row>
    <row r="762" spans="6:7" ht="12.75" x14ac:dyDescent="0.15">
      <c r="F762" s="19"/>
      <c r="G762" s="19"/>
    </row>
    <row r="763" spans="6:7" ht="12.75" x14ac:dyDescent="0.15">
      <c r="F763" s="19"/>
      <c r="G763" s="19"/>
    </row>
    <row r="764" spans="6:7" ht="12.75" x14ac:dyDescent="0.15">
      <c r="F764" s="19"/>
      <c r="G764" s="19"/>
    </row>
    <row r="765" spans="6:7" ht="12.75" x14ac:dyDescent="0.15">
      <c r="F765" s="19"/>
      <c r="G765" s="19"/>
    </row>
    <row r="766" spans="6:7" ht="12.75" x14ac:dyDescent="0.15">
      <c r="F766" s="19"/>
      <c r="G766" s="19"/>
    </row>
    <row r="767" spans="6:7" ht="12.75" x14ac:dyDescent="0.15">
      <c r="F767" s="19"/>
      <c r="G767" s="19"/>
    </row>
    <row r="768" spans="6:7" ht="12.75" x14ac:dyDescent="0.15">
      <c r="F768" s="19"/>
      <c r="G768" s="19"/>
    </row>
    <row r="769" spans="6:7" ht="12.75" x14ac:dyDescent="0.15">
      <c r="F769" s="19"/>
      <c r="G769" s="19"/>
    </row>
    <row r="770" spans="6:7" ht="12.75" x14ac:dyDescent="0.15">
      <c r="F770" s="19"/>
      <c r="G770" s="19"/>
    </row>
    <row r="771" spans="6:7" ht="12.75" x14ac:dyDescent="0.15">
      <c r="F771" s="19"/>
      <c r="G771" s="19"/>
    </row>
    <row r="772" spans="6:7" ht="12.75" x14ac:dyDescent="0.15">
      <c r="F772" s="19"/>
      <c r="G772" s="19"/>
    </row>
    <row r="773" spans="6:7" ht="12.75" x14ac:dyDescent="0.15">
      <c r="F773" s="19"/>
      <c r="G773" s="19"/>
    </row>
    <row r="774" spans="6:7" ht="12.75" x14ac:dyDescent="0.15">
      <c r="F774" s="19"/>
      <c r="G774" s="19"/>
    </row>
    <row r="775" spans="6:7" ht="12.75" x14ac:dyDescent="0.15">
      <c r="F775" s="19"/>
      <c r="G775" s="19"/>
    </row>
    <row r="776" spans="6:7" ht="12.75" x14ac:dyDescent="0.15">
      <c r="F776" s="19"/>
      <c r="G776" s="19"/>
    </row>
    <row r="777" spans="6:7" ht="12.75" x14ac:dyDescent="0.15">
      <c r="F777" s="19"/>
      <c r="G777" s="19"/>
    </row>
    <row r="778" spans="6:7" ht="12.75" x14ac:dyDescent="0.15">
      <c r="F778" s="19"/>
      <c r="G778" s="19"/>
    </row>
    <row r="779" spans="6:7" ht="12.75" x14ac:dyDescent="0.15">
      <c r="F779" s="19"/>
      <c r="G779" s="19"/>
    </row>
    <row r="780" spans="6:7" ht="12.75" x14ac:dyDescent="0.15">
      <c r="F780" s="19"/>
      <c r="G780" s="19"/>
    </row>
    <row r="781" spans="6:7" ht="12.75" x14ac:dyDescent="0.15">
      <c r="F781" s="19"/>
      <c r="G781" s="19"/>
    </row>
    <row r="782" spans="6:7" ht="12.75" x14ac:dyDescent="0.15">
      <c r="F782" s="19"/>
      <c r="G782" s="19"/>
    </row>
    <row r="783" spans="6:7" ht="12.75" x14ac:dyDescent="0.15">
      <c r="F783" s="19"/>
      <c r="G783" s="19"/>
    </row>
    <row r="784" spans="6:7" ht="12.75" x14ac:dyDescent="0.15">
      <c r="F784" s="19"/>
      <c r="G784" s="19"/>
    </row>
    <row r="785" spans="6:7" ht="12.75" x14ac:dyDescent="0.15">
      <c r="F785" s="19"/>
      <c r="G785" s="19"/>
    </row>
    <row r="786" spans="6:7" ht="12.75" x14ac:dyDescent="0.15">
      <c r="F786" s="19"/>
      <c r="G786" s="19"/>
    </row>
    <row r="787" spans="6:7" ht="12.75" x14ac:dyDescent="0.15">
      <c r="F787" s="19"/>
      <c r="G787" s="19"/>
    </row>
    <row r="788" spans="6:7" ht="12.75" x14ac:dyDescent="0.15">
      <c r="F788" s="19"/>
      <c r="G788" s="19"/>
    </row>
    <row r="789" spans="6:7" ht="12.75" x14ac:dyDescent="0.15">
      <c r="F789" s="19"/>
      <c r="G789" s="19"/>
    </row>
    <row r="790" spans="6:7" ht="12.75" x14ac:dyDescent="0.15">
      <c r="F790" s="19"/>
      <c r="G790" s="19"/>
    </row>
    <row r="791" spans="6:7" ht="12.75" x14ac:dyDescent="0.15">
      <c r="F791" s="19"/>
      <c r="G791" s="19"/>
    </row>
    <row r="792" spans="6:7" ht="12.75" x14ac:dyDescent="0.15">
      <c r="F792" s="19"/>
      <c r="G792" s="19"/>
    </row>
    <row r="793" spans="6:7" ht="12.75" x14ac:dyDescent="0.15">
      <c r="F793" s="19"/>
      <c r="G793" s="19"/>
    </row>
    <row r="794" spans="6:7" ht="12.75" x14ac:dyDescent="0.15">
      <c r="F794" s="19"/>
      <c r="G794" s="19"/>
    </row>
    <row r="795" spans="6:7" ht="12.75" x14ac:dyDescent="0.15">
      <c r="F795" s="19"/>
      <c r="G795" s="19"/>
    </row>
    <row r="796" spans="6:7" ht="12.75" x14ac:dyDescent="0.15">
      <c r="F796" s="19"/>
      <c r="G796" s="19"/>
    </row>
    <row r="797" spans="6:7" ht="12.75" x14ac:dyDescent="0.15">
      <c r="F797" s="19"/>
      <c r="G797" s="19"/>
    </row>
    <row r="798" spans="6:7" ht="12.75" x14ac:dyDescent="0.15">
      <c r="F798" s="19"/>
      <c r="G798" s="19"/>
    </row>
    <row r="799" spans="6:7" ht="12.75" x14ac:dyDescent="0.15">
      <c r="F799" s="19"/>
      <c r="G799" s="19"/>
    </row>
    <row r="800" spans="6:7" ht="12.75" x14ac:dyDescent="0.15">
      <c r="F800" s="19"/>
      <c r="G800" s="19"/>
    </row>
    <row r="801" spans="6:7" ht="12.75" x14ac:dyDescent="0.15">
      <c r="F801" s="19"/>
      <c r="G801" s="19"/>
    </row>
    <row r="802" spans="6:7" ht="12.75" x14ac:dyDescent="0.15">
      <c r="F802" s="19"/>
      <c r="G802" s="19"/>
    </row>
    <row r="803" spans="6:7" ht="12.75" x14ac:dyDescent="0.15">
      <c r="F803" s="19"/>
      <c r="G803" s="19"/>
    </row>
    <row r="804" spans="6:7" ht="12.75" x14ac:dyDescent="0.15">
      <c r="F804" s="19"/>
      <c r="G804" s="19"/>
    </row>
    <row r="805" spans="6:7" ht="12.75" x14ac:dyDescent="0.15">
      <c r="F805" s="19"/>
      <c r="G805" s="19"/>
    </row>
    <row r="806" spans="6:7" ht="12.75" x14ac:dyDescent="0.15">
      <c r="F806" s="19"/>
      <c r="G806" s="19"/>
    </row>
    <row r="807" spans="6:7" ht="12.75" x14ac:dyDescent="0.15">
      <c r="F807" s="19"/>
      <c r="G807" s="19"/>
    </row>
    <row r="808" spans="6:7" ht="12.75" x14ac:dyDescent="0.15">
      <c r="F808" s="19"/>
      <c r="G808" s="19"/>
    </row>
    <row r="809" spans="6:7" ht="12.75" x14ac:dyDescent="0.15">
      <c r="F809" s="19"/>
      <c r="G809" s="19"/>
    </row>
    <row r="810" spans="6:7" ht="12.75" x14ac:dyDescent="0.15">
      <c r="F810" s="19"/>
      <c r="G810" s="19"/>
    </row>
    <row r="811" spans="6:7" ht="12.75" x14ac:dyDescent="0.15">
      <c r="F811" s="19"/>
      <c r="G811" s="19"/>
    </row>
    <row r="812" spans="6:7" ht="12.75" x14ac:dyDescent="0.15">
      <c r="F812" s="19"/>
      <c r="G812" s="19"/>
    </row>
    <row r="813" spans="6:7" ht="12.75" x14ac:dyDescent="0.15">
      <c r="F813" s="19"/>
      <c r="G813" s="19"/>
    </row>
    <row r="814" spans="6:7" ht="12.75" x14ac:dyDescent="0.15">
      <c r="F814" s="19"/>
      <c r="G814" s="19"/>
    </row>
    <row r="815" spans="6:7" ht="12.75" x14ac:dyDescent="0.15">
      <c r="F815" s="19"/>
      <c r="G815" s="19"/>
    </row>
    <row r="816" spans="6:7" ht="12.75" x14ac:dyDescent="0.15">
      <c r="F816" s="19"/>
      <c r="G816" s="19"/>
    </row>
    <row r="817" spans="6:7" ht="12.75" x14ac:dyDescent="0.15">
      <c r="F817" s="19"/>
      <c r="G817" s="19"/>
    </row>
    <row r="818" spans="6:7" ht="12.75" x14ac:dyDescent="0.15">
      <c r="F818" s="19"/>
      <c r="G818" s="19"/>
    </row>
    <row r="819" spans="6:7" ht="12.75" x14ac:dyDescent="0.15">
      <c r="F819" s="19"/>
      <c r="G819" s="19"/>
    </row>
    <row r="820" spans="6:7" ht="12.75" x14ac:dyDescent="0.15">
      <c r="F820" s="19"/>
      <c r="G820" s="19"/>
    </row>
    <row r="821" spans="6:7" ht="12.75" x14ac:dyDescent="0.15">
      <c r="F821" s="19"/>
      <c r="G821" s="19"/>
    </row>
    <row r="822" spans="6:7" ht="12.75" x14ac:dyDescent="0.15">
      <c r="F822" s="19"/>
      <c r="G822" s="19"/>
    </row>
    <row r="823" spans="6:7" ht="12.75" x14ac:dyDescent="0.15">
      <c r="F823" s="19"/>
      <c r="G823" s="19"/>
    </row>
    <row r="824" spans="6:7" ht="12.75" x14ac:dyDescent="0.15">
      <c r="F824" s="19"/>
      <c r="G824" s="19"/>
    </row>
    <row r="825" spans="6:7" ht="12.75" x14ac:dyDescent="0.15">
      <c r="F825" s="19"/>
      <c r="G825" s="19"/>
    </row>
    <row r="826" spans="6:7" ht="12.75" x14ac:dyDescent="0.15">
      <c r="F826" s="19"/>
      <c r="G826" s="19"/>
    </row>
    <row r="827" spans="6:7" ht="12.75" x14ac:dyDescent="0.15">
      <c r="F827" s="19"/>
      <c r="G827" s="19"/>
    </row>
    <row r="828" spans="6:7" ht="12.75" x14ac:dyDescent="0.15">
      <c r="F828" s="19"/>
      <c r="G828" s="19"/>
    </row>
    <row r="829" spans="6:7" ht="12.75" x14ac:dyDescent="0.15">
      <c r="F829" s="19"/>
      <c r="G829" s="19"/>
    </row>
    <row r="830" spans="6:7" ht="12.75" x14ac:dyDescent="0.15">
      <c r="F830" s="19"/>
      <c r="G830" s="19"/>
    </row>
    <row r="831" spans="6:7" ht="12.75" x14ac:dyDescent="0.15">
      <c r="F831" s="19"/>
      <c r="G831" s="19"/>
    </row>
    <row r="832" spans="6:7" ht="12.75" x14ac:dyDescent="0.15">
      <c r="F832" s="19"/>
      <c r="G832" s="19"/>
    </row>
    <row r="833" spans="6:7" ht="12.75" x14ac:dyDescent="0.15">
      <c r="F833" s="19"/>
      <c r="G833" s="19"/>
    </row>
    <row r="834" spans="6:7" ht="12.75" x14ac:dyDescent="0.15">
      <c r="F834" s="19"/>
      <c r="G834" s="19"/>
    </row>
    <row r="835" spans="6:7" ht="12.75" x14ac:dyDescent="0.15">
      <c r="F835" s="19"/>
      <c r="G835" s="19"/>
    </row>
    <row r="836" spans="6:7" ht="12.75" x14ac:dyDescent="0.15">
      <c r="F836" s="19"/>
      <c r="G836" s="19"/>
    </row>
    <row r="837" spans="6:7" ht="12.75" x14ac:dyDescent="0.15">
      <c r="F837" s="19"/>
      <c r="G837" s="19"/>
    </row>
    <row r="838" spans="6:7" ht="12.75" x14ac:dyDescent="0.15">
      <c r="F838" s="19"/>
      <c r="G838" s="19"/>
    </row>
    <row r="839" spans="6:7" ht="12.75" x14ac:dyDescent="0.15">
      <c r="F839" s="19"/>
      <c r="G839" s="19"/>
    </row>
    <row r="840" spans="6:7" ht="12.75" x14ac:dyDescent="0.15">
      <c r="F840" s="19"/>
      <c r="G840" s="19"/>
    </row>
    <row r="841" spans="6:7" ht="12.75" x14ac:dyDescent="0.15">
      <c r="F841" s="19"/>
      <c r="G841" s="19"/>
    </row>
    <row r="842" spans="6:7" ht="12.75" x14ac:dyDescent="0.15">
      <c r="F842" s="19"/>
      <c r="G842" s="19"/>
    </row>
    <row r="843" spans="6:7" ht="12.75" x14ac:dyDescent="0.15">
      <c r="F843" s="19"/>
      <c r="G843" s="19"/>
    </row>
    <row r="844" spans="6:7" ht="12.75" x14ac:dyDescent="0.15">
      <c r="F844" s="19"/>
      <c r="G844" s="19"/>
    </row>
    <row r="845" spans="6:7" ht="12.75" x14ac:dyDescent="0.15">
      <c r="F845" s="19"/>
      <c r="G845" s="19"/>
    </row>
    <row r="846" spans="6:7" ht="12.75" x14ac:dyDescent="0.15">
      <c r="F846" s="19"/>
      <c r="G846" s="19"/>
    </row>
    <row r="847" spans="6:7" ht="12.75" x14ac:dyDescent="0.15">
      <c r="F847" s="19"/>
      <c r="G847" s="19"/>
    </row>
    <row r="848" spans="6:7" ht="12.75" x14ac:dyDescent="0.15">
      <c r="F848" s="19"/>
      <c r="G848" s="19"/>
    </row>
    <row r="849" spans="6:7" ht="12.75" x14ac:dyDescent="0.15">
      <c r="F849" s="19"/>
      <c r="G849" s="19"/>
    </row>
    <row r="850" spans="6:7" ht="12.75" x14ac:dyDescent="0.15">
      <c r="F850" s="19"/>
      <c r="G850" s="19"/>
    </row>
    <row r="851" spans="6:7" ht="12.75" x14ac:dyDescent="0.15">
      <c r="F851" s="19"/>
      <c r="G851" s="19"/>
    </row>
    <row r="852" spans="6:7" ht="12.75" x14ac:dyDescent="0.15">
      <c r="F852" s="19"/>
      <c r="G852" s="19"/>
    </row>
    <row r="853" spans="6:7" ht="12.75" x14ac:dyDescent="0.15">
      <c r="F853" s="19"/>
      <c r="G853" s="19"/>
    </row>
    <row r="854" spans="6:7" ht="12.75" x14ac:dyDescent="0.15">
      <c r="F854" s="19"/>
      <c r="G854" s="19"/>
    </row>
    <row r="855" spans="6:7" ht="12.75" x14ac:dyDescent="0.15">
      <c r="F855" s="19"/>
      <c r="G855" s="19"/>
    </row>
    <row r="856" spans="6:7" ht="12.75" x14ac:dyDescent="0.15">
      <c r="F856" s="19"/>
      <c r="G856" s="19"/>
    </row>
    <row r="857" spans="6:7" ht="12.75" x14ac:dyDescent="0.15">
      <c r="F857" s="19"/>
      <c r="G857" s="19"/>
    </row>
    <row r="858" spans="6:7" ht="12.75" x14ac:dyDescent="0.15">
      <c r="F858" s="19"/>
      <c r="G858" s="19"/>
    </row>
    <row r="859" spans="6:7" ht="12.75" x14ac:dyDescent="0.15">
      <c r="F859" s="19"/>
      <c r="G859" s="19"/>
    </row>
    <row r="860" spans="6:7" ht="12.75" x14ac:dyDescent="0.15">
      <c r="F860" s="19"/>
      <c r="G860" s="19"/>
    </row>
    <row r="861" spans="6:7" ht="12.75" x14ac:dyDescent="0.15">
      <c r="F861" s="19"/>
      <c r="G861" s="19"/>
    </row>
    <row r="862" spans="6:7" ht="12.75" x14ac:dyDescent="0.15">
      <c r="F862" s="19"/>
      <c r="G862" s="19"/>
    </row>
    <row r="863" spans="6:7" ht="12.75" x14ac:dyDescent="0.15">
      <c r="F863" s="19"/>
      <c r="G863" s="19"/>
    </row>
    <row r="864" spans="6:7" ht="12.75" x14ac:dyDescent="0.15">
      <c r="F864" s="19"/>
      <c r="G864" s="19"/>
    </row>
    <row r="865" spans="6:7" ht="12.75" x14ac:dyDescent="0.15">
      <c r="F865" s="19"/>
      <c r="G865" s="19"/>
    </row>
    <row r="866" spans="6:7" ht="12.75" x14ac:dyDescent="0.15">
      <c r="F866" s="19"/>
      <c r="G866" s="19"/>
    </row>
    <row r="867" spans="6:7" ht="12.75" x14ac:dyDescent="0.15">
      <c r="F867" s="19"/>
      <c r="G867" s="19"/>
    </row>
    <row r="868" spans="6:7" ht="12.75" x14ac:dyDescent="0.15">
      <c r="F868" s="19"/>
      <c r="G868" s="19"/>
    </row>
    <row r="869" spans="6:7" ht="12.75" x14ac:dyDescent="0.15">
      <c r="F869" s="19"/>
      <c r="G869" s="19"/>
    </row>
    <row r="870" spans="6:7" ht="12.75" x14ac:dyDescent="0.15">
      <c r="F870" s="19"/>
      <c r="G870" s="19"/>
    </row>
    <row r="871" spans="6:7" ht="12.75" x14ac:dyDescent="0.15">
      <c r="F871" s="19"/>
      <c r="G871" s="19"/>
    </row>
    <row r="872" spans="6:7" ht="12.75" x14ac:dyDescent="0.15">
      <c r="F872" s="19"/>
      <c r="G872" s="19"/>
    </row>
    <row r="873" spans="6:7" ht="12.75" x14ac:dyDescent="0.15">
      <c r="F873" s="19"/>
      <c r="G873" s="19"/>
    </row>
    <row r="874" spans="6:7" ht="12.75" x14ac:dyDescent="0.15">
      <c r="F874" s="19"/>
      <c r="G874" s="19"/>
    </row>
    <row r="875" spans="6:7" ht="12.75" x14ac:dyDescent="0.15">
      <c r="F875" s="19"/>
      <c r="G875" s="19"/>
    </row>
    <row r="876" spans="6:7" ht="12.75" x14ac:dyDescent="0.15">
      <c r="F876" s="19"/>
      <c r="G876" s="19"/>
    </row>
    <row r="877" spans="6:7" ht="12.75" x14ac:dyDescent="0.15">
      <c r="F877" s="19"/>
      <c r="G877" s="19"/>
    </row>
    <row r="878" spans="6:7" ht="12.75" x14ac:dyDescent="0.15">
      <c r="F878" s="19"/>
      <c r="G878" s="19"/>
    </row>
    <row r="879" spans="6:7" ht="12.75" x14ac:dyDescent="0.15">
      <c r="F879" s="19"/>
      <c r="G879" s="19"/>
    </row>
    <row r="880" spans="6:7" ht="12.75" x14ac:dyDescent="0.15">
      <c r="F880" s="19"/>
      <c r="G880" s="19"/>
    </row>
    <row r="881" spans="6:7" ht="12.75" x14ac:dyDescent="0.15">
      <c r="F881" s="19"/>
      <c r="G881" s="19"/>
    </row>
    <row r="882" spans="6:7" ht="12.75" x14ac:dyDescent="0.15">
      <c r="F882" s="19"/>
      <c r="G882" s="19"/>
    </row>
    <row r="883" spans="6:7" ht="12.75" x14ac:dyDescent="0.15">
      <c r="F883" s="19"/>
      <c r="G883" s="19"/>
    </row>
    <row r="884" spans="6:7" ht="12.75" x14ac:dyDescent="0.15">
      <c r="F884" s="19"/>
      <c r="G884" s="19"/>
    </row>
    <row r="885" spans="6:7" ht="12.75" x14ac:dyDescent="0.15">
      <c r="F885" s="19"/>
      <c r="G885" s="19"/>
    </row>
    <row r="886" spans="6:7" ht="12.75" x14ac:dyDescent="0.15">
      <c r="F886" s="19"/>
      <c r="G886" s="19"/>
    </row>
    <row r="887" spans="6:7" ht="12.75" x14ac:dyDescent="0.15">
      <c r="F887" s="19"/>
      <c r="G887" s="19"/>
    </row>
    <row r="888" spans="6:7" ht="12.75" x14ac:dyDescent="0.15">
      <c r="F888" s="19"/>
      <c r="G888" s="19"/>
    </row>
    <row r="889" spans="6:7" ht="12.75" x14ac:dyDescent="0.15">
      <c r="F889" s="19"/>
      <c r="G889" s="19"/>
    </row>
    <row r="890" spans="6:7" ht="12.75" x14ac:dyDescent="0.15">
      <c r="F890" s="19"/>
      <c r="G890" s="19"/>
    </row>
    <row r="891" spans="6:7" ht="12.75" x14ac:dyDescent="0.15">
      <c r="F891" s="19"/>
      <c r="G891" s="19"/>
    </row>
    <row r="892" spans="6:7" ht="12.75" x14ac:dyDescent="0.15">
      <c r="F892" s="19"/>
      <c r="G892" s="19"/>
    </row>
    <row r="893" spans="6:7" ht="12.75" x14ac:dyDescent="0.15">
      <c r="F893" s="19"/>
      <c r="G893" s="19"/>
    </row>
    <row r="894" spans="6:7" ht="12.75" x14ac:dyDescent="0.15">
      <c r="F894" s="19"/>
      <c r="G894" s="19"/>
    </row>
    <row r="895" spans="6:7" ht="12.75" x14ac:dyDescent="0.15">
      <c r="F895" s="19"/>
      <c r="G895" s="19"/>
    </row>
    <row r="896" spans="6:7" ht="12.75" x14ac:dyDescent="0.15">
      <c r="F896" s="19"/>
      <c r="G896" s="19"/>
    </row>
    <row r="897" spans="6:7" ht="12.75" x14ac:dyDescent="0.15">
      <c r="F897" s="19"/>
      <c r="G897" s="19"/>
    </row>
    <row r="898" spans="6:7" ht="12.75" x14ac:dyDescent="0.15">
      <c r="F898" s="19"/>
      <c r="G898" s="19"/>
    </row>
    <row r="899" spans="6:7" ht="12.75" x14ac:dyDescent="0.15">
      <c r="F899" s="19"/>
      <c r="G899" s="19"/>
    </row>
    <row r="900" spans="6:7" ht="12.75" x14ac:dyDescent="0.15">
      <c r="F900" s="19"/>
      <c r="G900" s="19"/>
    </row>
    <row r="901" spans="6:7" ht="12.75" x14ac:dyDescent="0.15">
      <c r="F901" s="19"/>
      <c r="G901" s="19"/>
    </row>
    <row r="902" spans="6:7" ht="12.75" x14ac:dyDescent="0.15">
      <c r="F902" s="19"/>
      <c r="G902" s="19"/>
    </row>
    <row r="903" spans="6:7" ht="12.75" x14ac:dyDescent="0.15">
      <c r="F903" s="19"/>
      <c r="G903" s="19"/>
    </row>
    <row r="904" spans="6:7" ht="12.75" x14ac:dyDescent="0.15">
      <c r="F904" s="19"/>
      <c r="G904" s="19"/>
    </row>
    <row r="905" spans="6:7" ht="12.75" x14ac:dyDescent="0.15">
      <c r="F905" s="19"/>
      <c r="G905" s="19"/>
    </row>
    <row r="906" spans="6:7" ht="12.75" x14ac:dyDescent="0.15">
      <c r="F906" s="19"/>
      <c r="G906" s="19"/>
    </row>
    <row r="907" spans="6:7" ht="12.75" x14ac:dyDescent="0.15">
      <c r="F907" s="19"/>
      <c r="G907" s="19"/>
    </row>
    <row r="908" spans="6:7" ht="12.75" x14ac:dyDescent="0.15">
      <c r="F908" s="19"/>
      <c r="G908" s="19"/>
    </row>
    <row r="909" spans="6:7" ht="12.75" x14ac:dyDescent="0.15">
      <c r="F909" s="19"/>
      <c r="G909" s="19"/>
    </row>
    <row r="910" spans="6:7" ht="12.75" x14ac:dyDescent="0.15">
      <c r="F910" s="19"/>
      <c r="G910" s="19"/>
    </row>
    <row r="911" spans="6:7" ht="12.75" x14ac:dyDescent="0.15">
      <c r="F911" s="19"/>
      <c r="G911" s="19"/>
    </row>
    <row r="912" spans="6:7" ht="12.75" x14ac:dyDescent="0.15">
      <c r="F912" s="19"/>
      <c r="G912" s="19"/>
    </row>
    <row r="913" spans="6:7" ht="12.75" x14ac:dyDescent="0.15">
      <c r="F913" s="19"/>
      <c r="G913" s="19"/>
    </row>
    <row r="914" spans="6:7" ht="12.75" x14ac:dyDescent="0.15">
      <c r="F914" s="19"/>
      <c r="G914" s="19"/>
    </row>
    <row r="915" spans="6:7" ht="12.75" x14ac:dyDescent="0.15">
      <c r="F915" s="19"/>
      <c r="G915" s="19"/>
    </row>
    <row r="916" spans="6:7" ht="12.75" x14ac:dyDescent="0.15">
      <c r="F916" s="19"/>
      <c r="G916" s="19"/>
    </row>
    <row r="917" spans="6:7" ht="12.75" x14ac:dyDescent="0.15">
      <c r="F917" s="19"/>
      <c r="G917" s="19"/>
    </row>
    <row r="918" spans="6:7" ht="12.75" x14ac:dyDescent="0.15">
      <c r="F918" s="19"/>
      <c r="G918" s="19"/>
    </row>
    <row r="919" spans="6:7" ht="12.75" x14ac:dyDescent="0.15">
      <c r="F919" s="19"/>
      <c r="G919" s="19"/>
    </row>
    <row r="920" spans="6:7" ht="12.75" x14ac:dyDescent="0.15">
      <c r="F920" s="19"/>
      <c r="G920" s="19"/>
    </row>
    <row r="921" spans="6:7" ht="12.75" x14ac:dyDescent="0.15">
      <c r="F921" s="19"/>
      <c r="G921" s="19"/>
    </row>
    <row r="922" spans="6:7" ht="12.75" x14ac:dyDescent="0.15">
      <c r="F922" s="19"/>
      <c r="G922" s="19"/>
    </row>
    <row r="923" spans="6:7" ht="12.75" x14ac:dyDescent="0.15">
      <c r="F923" s="19"/>
      <c r="G923" s="19"/>
    </row>
    <row r="924" spans="6:7" ht="12.75" x14ac:dyDescent="0.15">
      <c r="F924" s="19"/>
      <c r="G924" s="19"/>
    </row>
    <row r="925" spans="6:7" ht="12.75" x14ac:dyDescent="0.15">
      <c r="F925" s="19"/>
      <c r="G925" s="19"/>
    </row>
    <row r="926" spans="6:7" ht="12.75" x14ac:dyDescent="0.15">
      <c r="F926" s="19"/>
      <c r="G926" s="19"/>
    </row>
    <row r="927" spans="6:7" ht="12.75" x14ac:dyDescent="0.15">
      <c r="F927" s="19"/>
      <c r="G927" s="19"/>
    </row>
    <row r="928" spans="6:7" ht="12.75" x14ac:dyDescent="0.15">
      <c r="F928" s="19"/>
      <c r="G928" s="19"/>
    </row>
    <row r="929" spans="6:7" ht="12.75" x14ac:dyDescent="0.15">
      <c r="F929" s="19"/>
      <c r="G929" s="19"/>
    </row>
    <row r="930" spans="6:7" ht="12.75" x14ac:dyDescent="0.15">
      <c r="F930" s="19"/>
      <c r="G930" s="19"/>
    </row>
    <row r="931" spans="6:7" ht="12.75" x14ac:dyDescent="0.15">
      <c r="F931" s="19"/>
      <c r="G931" s="19"/>
    </row>
    <row r="932" spans="6:7" ht="12.75" x14ac:dyDescent="0.15">
      <c r="F932" s="19"/>
      <c r="G932" s="19"/>
    </row>
    <row r="933" spans="6:7" ht="12.75" x14ac:dyDescent="0.15">
      <c r="F933" s="19"/>
      <c r="G933" s="19"/>
    </row>
    <row r="934" spans="6:7" ht="12.75" x14ac:dyDescent="0.15">
      <c r="F934" s="19"/>
      <c r="G934" s="19"/>
    </row>
    <row r="935" spans="6:7" ht="12.75" x14ac:dyDescent="0.15">
      <c r="F935" s="19"/>
      <c r="G935" s="19"/>
    </row>
    <row r="936" spans="6:7" ht="12.75" x14ac:dyDescent="0.15">
      <c r="F936" s="19"/>
      <c r="G936" s="19"/>
    </row>
    <row r="937" spans="6:7" ht="12.75" x14ac:dyDescent="0.15">
      <c r="F937" s="19"/>
      <c r="G937" s="19"/>
    </row>
    <row r="938" spans="6:7" ht="12.75" x14ac:dyDescent="0.15">
      <c r="F938" s="19"/>
      <c r="G938" s="19"/>
    </row>
    <row r="939" spans="6:7" ht="12.75" x14ac:dyDescent="0.15">
      <c r="F939" s="19"/>
      <c r="G939" s="19"/>
    </row>
    <row r="940" spans="6:7" ht="12.75" x14ac:dyDescent="0.15">
      <c r="F940" s="19"/>
      <c r="G940" s="19"/>
    </row>
    <row r="941" spans="6:7" ht="12.75" x14ac:dyDescent="0.15">
      <c r="F941" s="19"/>
      <c r="G941" s="19"/>
    </row>
    <row r="942" spans="6:7" ht="12.75" x14ac:dyDescent="0.15">
      <c r="F942" s="19"/>
      <c r="G942" s="19"/>
    </row>
    <row r="943" spans="6:7" ht="12.75" x14ac:dyDescent="0.15">
      <c r="F943" s="19"/>
      <c r="G943" s="19"/>
    </row>
    <row r="944" spans="6:7" ht="12.75" x14ac:dyDescent="0.15">
      <c r="F944" s="19"/>
      <c r="G944" s="19"/>
    </row>
    <row r="945" spans="6:7" ht="12.75" x14ac:dyDescent="0.15">
      <c r="F945" s="19"/>
      <c r="G945" s="19"/>
    </row>
    <row r="946" spans="6:7" ht="12.75" x14ac:dyDescent="0.15">
      <c r="F946" s="19"/>
      <c r="G946" s="19"/>
    </row>
    <row r="947" spans="6:7" ht="12.75" x14ac:dyDescent="0.15">
      <c r="F947" s="19"/>
      <c r="G947" s="19"/>
    </row>
    <row r="948" spans="6:7" ht="12.75" x14ac:dyDescent="0.15">
      <c r="F948" s="19"/>
      <c r="G948" s="19"/>
    </row>
    <row r="949" spans="6:7" ht="12.75" x14ac:dyDescent="0.15">
      <c r="F949" s="19"/>
      <c r="G949" s="19"/>
    </row>
    <row r="950" spans="6:7" ht="12.75" x14ac:dyDescent="0.15">
      <c r="F950" s="19"/>
      <c r="G950" s="19"/>
    </row>
    <row r="951" spans="6:7" ht="12.75" x14ac:dyDescent="0.15">
      <c r="F951" s="19"/>
      <c r="G951" s="19"/>
    </row>
    <row r="952" spans="6:7" ht="12.75" x14ac:dyDescent="0.15">
      <c r="F952" s="19"/>
      <c r="G952" s="19"/>
    </row>
    <row r="953" spans="6:7" ht="12.75" x14ac:dyDescent="0.15">
      <c r="F953" s="19"/>
      <c r="G953" s="19"/>
    </row>
    <row r="954" spans="6:7" ht="12.75" x14ac:dyDescent="0.15">
      <c r="F954" s="19"/>
      <c r="G954" s="19"/>
    </row>
    <row r="955" spans="6:7" ht="12.75" x14ac:dyDescent="0.15">
      <c r="F955" s="19"/>
      <c r="G955" s="19"/>
    </row>
    <row r="956" spans="6:7" ht="12.75" x14ac:dyDescent="0.15">
      <c r="F956" s="19"/>
      <c r="G956" s="19"/>
    </row>
    <row r="957" spans="6:7" ht="12.75" x14ac:dyDescent="0.15">
      <c r="F957" s="19"/>
      <c r="G957" s="19"/>
    </row>
    <row r="958" spans="6:7" ht="12.75" x14ac:dyDescent="0.15">
      <c r="F958" s="19"/>
      <c r="G958" s="19"/>
    </row>
    <row r="959" spans="6:7" ht="12.75" x14ac:dyDescent="0.15">
      <c r="F959" s="19"/>
      <c r="G959" s="19"/>
    </row>
    <row r="960" spans="6:7" ht="12.75" x14ac:dyDescent="0.15">
      <c r="F960" s="19"/>
      <c r="G960" s="19"/>
    </row>
    <row r="961" spans="6:7" ht="12.75" x14ac:dyDescent="0.15">
      <c r="F961" s="19"/>
      <c r="G961" s="19"/>
    </row>
    <row r="962" spans="6:7" ht="12.75" x14ac:dyDescent="0.15">
      <c r="F962" s="19"/>
      <c r="G962" s="19"/>
    </row>
    <row r="963" spans="6:7" ht="12.75" x14ac:dyDescent="0.15">
      <c r="F963" s="19"/>
      <c r="G963" s="19"/>
    </row>
    <row r="964" spans="6:7" ht="12.75" x14ac:dyDescent="0.15">
      <c r="F964" s="19"/>
      <c r="G964" s="19"/>
    </row>
    <row r="965" spans="6:7" ht="12.75" x14ac:dyDescent="0.15">
      <c r="F965" s="19"/>
      <c r="G965" s="19"/>
    </row>
    <row r="966" spans="6:7" ht="12.75" x14ac:dyDescent="0.15">
      <c r="F966" s="19"/>
      <c r="G966" s="19"/>
    </row>
    <row r="967" spans="6:7" ht="12.75" x14ac:dyDescent="0.15">
      <c r="F967" s="19"/>
      <c r="G967" s="19"/>
    </row>
    <row r="968" spans="6:7" ht="12.75" x14ac:dyDescent="0.15">
      <c r="F968" s="19"/>
      <c r="G968" s="19"/>
    </row>
    <row r="969" spans="6:7" ht="12.75" x14ac:dyDescent="0.15">
      <c r="F969" s="19"/>
      <c r="G969" s="19"/>
    </row>
    <row r="970" spans="6:7" ht="12.75" x14ac:dyDescent="0.15">
      <c r="F970" s="19"/>
      <c r="G970" s="19"/>
    </row>
    <row r="971" spans="6:7" ht="12.75" x14ac:dyDescent="0.15">
      <c r="F971" s="19"/>
      <c r="G971" s="19"/>
    </row>
    <row r="972" spans="6:7" ht="12.75" x14ac:dyDescent="0.15">
      <c r="F972" s="19"/>
      <c r="G972" s="19"/>
    </row>
    <row r="973" spans="6:7" ht="12.75" x14ac:dyDescent="0.15">
      <c r="F973" s="19"/>
      <c r="G973" s="19"/>
    </row>
    <row r="974" spans="6:7" ht="12.75" x14ac:dyDescent="0.15">
      <c r="F974" s="19"/>
      <c r="G974" s="19"/>
    </row>
    <row r="975" spans="6:7" ht="12.75" x14ac:dyDescent="0.15">
      <c r="F975" s="19"/>
      <c r="G975" s="19"/>
    </row>
    <row r="976" spans="6:7" ht="12.75" x14ac:dyDescent="0.15">
      <c r="F976" s="19"/>
      <c r="G976" s="19"/>
    </row>
    <row r="977" spans="6:7" ht="12.75" x14ac:dyDescent="0.15">
      <c r="F977" s="19"/>
      <c r="G977" s="19"/>
    </row>
    <row r="978" spans="6:7" ht="12.75" x14ac:dyDescent="0.15">
      <c r="F978" s="19"/>
      <c r="G978" s="19"/>
    </row>
    <row r="979" spans="6:7" ht="12.75" x14ac:dyDescent="0.15">
      <c r="F979" s="19"/>
      <c r="G979" s="19"/>
    </row>
    <row r="980" spans="6:7" ht="12.75" x14ac:dyDescent="0.15">
      <c r="F980" s="19"/>
      <c r="G980" s="19"/>
    </row>
    <row r="981" spans="6:7" ht="12.75" x14ac:dyDescent="0.15">
      <c r="F981" s="19"/>
      <c r="G981" s="19"/>
    </row>
    <row r="982" spans="6:7" ht="12.75" x14ac:dyDescent="0.15">
      <c r="F982" s="19"/>
      <c r="G982" s="19"/>
    </row>
    <row r="983" spans="6:7" ht="12.75" x14ac:dyDescent="0.15">
      <c r="F983" s="19"/>
      <c r="G983" s="19"/>
    </row>
    <row r="984" spans="6:7" ht="12.75" x14ac:dyDescent="0.15">
      <c r="F984" s="19"/>
      <c r="G984" s="19"/>
    </row>
    <row r="985" spans="6:7" ht="12.75" x14ac:dyDescent="0.15">
      <c r="F985" s="19"/>
      <c r="G985" s="19"/>
    </row>
    <row r="986" spans="6:7" ht="12.75" x14ac:dyDescent="0.15">
      <c r="F986" s="19"/>
      <c r="G986" s="19"/>
    </row>
    <row r="987" spans="6:7" ht="12.75" x14ac:dyDescent="0.15">
      <c r="F987" s="19"/>
      <c r="G987" s="19"/>
    </row>
    <row r="988" spans="6:7" ht="12.75" x14ac:dyDescent="0.15">
      <c r="F988" s="19"/>
      <c r="G988" s="19"/>
    </row>
    <row r="989" spans="6:7" ht="12.75" x14ac:dyDescent="0.15">
      <c r="F989" s="19"/>
      <c r="G989" s="19"/>
    </row>
    <row r="990" spans="6:7" ht="12.75" x14ac:dyDescent="0.15">
      <c r="F990" s="19"/>
      <c r="G990" s="19"/>
    </row>
    <row r="991" spans="6:7" ht="12.75" x14ac:dyDescent="0.15">
      <c r="F991" s="19"/>
      <c r="G991" s="19"/>
    </row>
    <row r="992" spans="6:7" ht="12.75" x14ac:dyDescent="0.15">
      <c r="F992" s="19"/>
      <c r="G992" s="19"/>
    </row>
    <row r="993" spans="6:7" ht="12.75" x14ac:dyDescent="0.15">
      <c r="F993" s="19"/>
      <c r="G993" s="19"/>
    </row>
  </sheetData>
  <hyperlinks>
    <hyperlink ref="C2" r:id="rId1" xr:uid="{00000000-0004-0000-0000-000000000000}"/>
    <hyperlink ref="C4" r:id="rId2" xr:uid="{00000000-0004-0000-0000-000021000000}"/>
    <hyperlink ref="C5" r:id="rId3" xr:uid="{00000000-0004-0000-0000-000022000000}"/>
    <hyperlink ref="C6" r:id="rId4" xr:uid="{00000000-0004-0000-0000-000023000000}"/>
    <hyperlink ref="C7" r:id="rId5" xr:uid="{00000000-0004-0000-0000-000024000000}"/>
    <hyperlink ref="C8" r:id="rId6" xr:uid="{00000000-0004-0000-0000-000025000000}"/>
    <hyperlink ref="C9" r:id="rId7" xr:uid="{00000000-0004-0000-0000-000026000000}"/>
    <hyperlink ref="C10" r:id="rId8" xr:uid="{00000000-0004-0000-0000-000027000000}"/>
    <hyperlink ref="C11" r:id="rId9" xr:uid="{00000000-0004-0000-0000-000028000000}"/>
    <hyperlink ref="C12" r:id="rId10" xr:uid="{00000000-0004-0000-0000-000029000000}"/>
    <hyperlink ref="C13" r:id="rId11" xr:uid="{00000000-0004-0000-0000-00002A000000}"/>
    <hyperlink ref="C14" r:id="rId12" xr:uid="{00000000-0004-0000-0000-00002B000000}"/>
    <hyperlink ref="C15" r:id="rId13" xr:uid="{00000000-0004-0000-0000-00002C000000}"/>
    <hyperlink ref="C16" r:id="rId14" xr:uid="{00000000-0004-0000-0000-00002D000000}"/>
    <hyperlink ref="C17" r:id="rId15" xr:uid="{00000000-0004-0000-0000-00002E000000}"/>
    <hyperlink ref="C18" r:id="rId16" xr:uid="{00000000-0004-0000-0000-00002F000000}"/>
    <hyperlink ref="C19" r:id="rId17" xr:uid="{00000000-0004-0000-0000-000030000000}"/>
    <hyperlink ref="C20" r:id="rId18" xr:uid="{00000000-0004-0000-0000-000031000000}"/>
    <hyperlink ref="C21" r:id="rId19" xr:uid="{00000000-0004-0000-0000-000032000000}"/>
    <hyperlink ref="C22" r:id="rId20" xr:uid="{00000000-0004-0000-0000-000033000000}"/>
    <hyperlink ref="C23" r:id="rId21" xr:uid="{00000000-0004-0000-0000-000034000000}"/>
    <hyperlink ref="C24" r:id="rId22" xr:uid="{00000000-0004-0000-0000-000035000000}"/>
    <hyperlink ref="C25" r:id="rId23" xr:uid="{00000000-0004-0000-0000-000036000000}"/>
    <hyperlink ref="C26" r:id="rId24" xr:uid="{00000000-0004-0000-0000-000037000000}"/>
    <hyperlink ref="C27" r:id="rId25" xr:uid="{00000000-0004-0000-0000-000038000000}"/>
    <hyperlink ref="C44" r:id="rId26" xr:uid="{00000000-0004-0000-0000-00003F000000}"/>
    <hyperlink ref="C45" r:id="rId27" xr:uid="{00000000-0004-0000-0000-000040000000}"/>
    <hyperlink ref="C46" r:id="rId28" xr:uid="{00000000-0004-0000-0000-000041000000}"/>
    <hyperlink ref="C57" r:id="rId29" xr:uid="{00000000-0004-0000-0000-000049000000}"/>
    <hyperlink ref="C58" r:id="rId30" xr:uid="{00000000-0004-0000-0000-00004A000000}"/>
    <hyperlink ref="C59" r:id="rId31" xr:uid="{00000000-0004-0000-0000-00004B000000}"/>
    <hyperlink ref="C60" r:id="rId32" xr:uid="{00000000-0004-0000-0000-00004C000000}"/>
    <hyperlink ref="C62" r:id="rId33" xr:uid="{00000000-0004-0000-0000-00004E000000}"/>
    <hyperlink ref="C70" r:id="rId34" xr:uid="{00000000-0004-0000-0000-000050000000}"/>
    <hyperlink ref="C71" r:id="rId35" xr:uid="{00000000-0004-0000-0000-000051000000}"/>
    <hyperlink ref="C72" r:id="rId36" xr:uid="{00000000-0004-0000-0000-000052000000}"/>
    <hyperlink ref="C73" r:id="rId37" xr:uid="{00000000-0004-0000-0000-000053000000}"/>
    <hyperlink ref="C74" r:id="rId38" xr:uid="{00000000-0004-0000-0000-000054000000}"/>
    <hyperlink ref="C75" r:id="rId39" xr:uid="{00000000-0004-0000-0000-000055000000}"/>
    <hyperlink ref="C76" r:id="rId40" xr:uid="{00000000-0004-0000-0000-000056000000}"/>
    <hyperlink ref="C77" r:id="rId41" xr:uid="{00000000-0004-0000-0000-000057000000}"/>
    <hyperlink ref="C78" r:id="rId42" xr:uid="{00000000-0004-0000-0000-000058000000}"/>
    <hyperlink ref="C79" r:id="rId43" xr:uid="{00000000-0004-0000-0000-000059000000}"/>
    <hyperlink ref="C80" r:id="rId44" xr:uid="{00000000-0004-0000-0000-00005A000000}"/>
    <hyperlink ref="C81" r:id="rId45" xr:uid="{00000000-0004-0000-0000-00005B000000}"/>
    <hyperlink ref="C82" r:id="rId46" xr:uid="{00000000-0004-0000-0000-00005C000000}"/>
    <hyperlink ref="C83" r:id="rId47" xr:uid="{00000000-0004-0000-0000-00005D000000}"/>
    <hyperlink ref="C84" r:id="rId48" xr:uid="{00000000-0004-0000-0000-00005E000000}"/>
    <hyperlink ref="C85" r:id="rId49" xr:uid="{00000000-0004-0000-0000-00005F000000}"/>
    <hyperlink ref="C86" r:id="rId50" xr:uid="{00000000-0004-0000-0000-000060000000}"/>
    <hyperlink ref="C87" r:id="rId51" xr:uid="{00000000-0004-0000-0000-000061000000}"/>
    <hyperlink ref="C88" r:id="rId52" xr:uid="{00000000-0004-0000-0000-000062000000}"/>
    <hyperlink ref="C89" r:id="rId53" xr:uid="{00000000-0004-0000-0000-000063000000}"/>
    <hyperlink ref="C90" r:id="rId54" xr:uid="{00000000-0004-0000-0000-000064000000}"/>
    <hyperlink ref="C91" r:id="rId55" xr:uid="{00000000-0004-0000-0000-000065000000}"/>
    <hyperlink ref="C92" r:id="rId56" xr:uid="{00000000-0004-0000-0000-000066000000}"/>
    <hyperlink ref="C34" r:id="rId57" xr:uid="{C3D8895E-36F9-C446-9032-98D1DBA560B2}"/>
    <hyperlink ref="C40" r:id="rId58" xr:uid="{01D04C71-5B69-CD49-B99C-9F3396BA5C94}"/>
    <hyperlink ref="C43" r:id="rId59" xr:uid="{993E0396-71F4-7543-B9D1-2323DD4B1A4A}"/>
    <hyperlink ref="C61" r:id="rId60" xr:uid="{74D92F56-9F4B-D94E-B07F-70DC18555F3F}"/>
    <hyperlink ref="C32" r:id="rId61" xr:uid="{6117C927-2422-A647-A376-30E6E68FCE95}"/>
    <hyperlink ref="C38" r:id="rId62" xr:uid="{443F0D7B-AB73-DB4E-BCE7-81C6555F559E}"/>
    <hyperlink ref="C41" r:id="rId63" xr:uid="{5704C940-F1D5-2544-BE71-99F3BDF45585}"/>
    <hyperlink ref="C33" r:id="rId64" xr:uid="{ACAEF9A9-13E1-0348-A343-96345D8C6AFB}"/>
    <hyperlink ref="C39" r:id="rId65" xr:uid="{B735B44B-B3F5-DE4A-9AFF-2EF89CC2A64F}"/>
    <hyperlink ref="C42" r:id="rId66" xr:uid="{05A86DD3-ECAD-9D47-B04E-240F29894DDB}"/>
    <hyperlink ref="C53:C55" r:id="rId67" xr:uid="{6A494DC8-0F42-4048-96AE-BCC261BF1BC1}"/>
    <hyperlink ref="C56" r:id="rId68" xr:uid="{00000000-0004-0000-0000-000048000000}"/>
    <hyperlink ref="C55" r:id="rId69" xr:uid="{B7026E13-BC56-264A-90AC-4219AEA08000}"/>
    <hyperlink ref="C68" r:id="rId70" xr:uid="{0B569A9A-6986-3145-B52C-F897A41C11E0}"/>
    <hyperlink ref="C69" r:id="rId71" xr:uid="{977B1C0E-62DA-C349-B3D5-06DAFA6707F3}"/>
    <hyperlink ref="C66" r:id="rId72" xr:uid="{40F34643-4C10-0C4F-8282-27F8A2FF7EEF}"/>
    <hyperlink ref="C67" r:id="rId73" xr:uid="{AF8594C3-5F62-4147-8B20-A58F61D529CA}"/>
    <hyperlink ref="C64" r:id="rId74" xr:uid="{C8254A31-FE85-3F46-859A-8FAAD2332156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47"/>
  <sheetViews>
    <sheetView topLeftCell="A17" workbookViewId="0">
      <selection activeCell="A29" sqref="A29"/>
    </sheetView>
  </sheetViews>
  <sheetFormatPr defaultColWidth="12.67578125" defaultRowHeight="15.75" customHeight="1" x14ac:dyDescent="0.15"/>
  <sheetData>
    <row r="1" spans="1:10" ht="12.75" x14ac:dyDescent="0.1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</row>
    <row r="2" spans="1:10" ht="59.25" customHeight="1" x14ac:dyDescent="0.15">
      <c r="A2" s="1"/>
      <c r="B2" s="1"/>
      <c r="C2" s="1"/>
      <c r="D2" s="1"/>
      <c r="E2" s="1"/>
      <c r="F2" s="1"/>
    </row>
    <row r="5" spans="1:10" ht="12.75" x14ac:dyDescent="0.15">
      <c r="A5" s="1" t="s">
        <v>91</v>
      </c>
      <c r="B5" s="1" t="s">
        <v>92</v>
      </c>
      <c r="C5" s="1" t="s">
        <v>93</v>
      </c>
      <c r="D5" s="1" t="s">
        <v>94</v>
      </c>
    </row>
    <row r="6" spans="1:10" ht="16.5" customHeight="1" x14ac:dyDescent="0.15">
      <c r="A6" s="1"/>
      <c r="B6" s="24" t="s">
        <v>172</v>
      </c>
      <c r="C6" s="24" t="s">
        <v>110</v>
      </c>
      <c r="D6" s="24" t="str">
        <f>CONCATENATE("
---
Salamat sa pagsuporta sa **TeXMathPro, KasaMath**! Kung may tanong o suggestion ka, [kontakin mo lang ako](mailto:texmathpro@gmail.com).")</f>
        <v xml:space="preserve">
---
Salamat sa pagsuporta sa **TeXMathPro, KasaMath**! Kung may tanong o suggestion ka, [kontakin mo lang ako](mailto:texmathpro@gmail.com).</v>
      </c>
    </row>
    <row r="8" spans="1:10" ht="15.75" customHeight="1" x14ac:dyDescent="0.15">
      <c r="B8" s="25"/>
    </row>
    <row r="9" spans="1:10" ht="12.75" x14ac:dyDescent="0.15">
      <c r="B9" s="1" t="s">
        <v>95</v>
      </c>
      <c r="C9" s="1" t="s">
        <v>96</v>
      </c>
      <c r="D9" s="1" t="s">
        <v>97</v>
      </c>
      <c r="E9" s="1" t="s">
        <v>98</v>
      </c>
      <c r="F9" s="1" t="s">
        <v>99</v>
      </c>
      <c r="G9" s="1" t="b">
        <v>1</v>
      </c>
      <c r="H9" s="1" t="b">
        <v>0</v>
      </c>
      <c r="I9" s="10" t="b">
        <v>1</v>
      </c>
      <c r="J9" s="1" t="b">
        <v>0</v>
      </c>
    </row>
    <row r="10" spans="1:10" ht="12.75" x14ac:dyDescent="0.15">
      <c r="A10" s="1" t="s">
        <v>100</v>
      </c>
      <c r="B10" s="25" t="s">
        <v>101</v>
      </c>
      <c r="C10" s="3" t="s">
        <v>101</v>
      </c>
      <c r="D10" s="3" t="s">
        <v>102</v>
      </c>
      <c r="E10" s="3" t="s">
        <v>101</v>
      </c>
      <c r="F10" s="10" t="b">
        <v>1</v>
      </c>
      <c r="G10" s="21" t="str">
        <f>IF($F10, CONCATENATE("- [", B$9, " Handouts for the ",$A10, "](", B10, ")"), "")</f>
        <v>- [Grade 7 Handouts for the 1st Term](https://drive.google.com/file/d/150NUP_Nq2tev-Qn00VInZTAaPrUAssmQ/view?usp=drivesdk)</v>
      </c>
      <c r="H10" s="21" t="str">
        <f t="shared" ref="H10:H12" si="0">IF(H$9,IF($F10, CONCATENATE("- [", C$9, " Handouts for the ",$A10, "](", C10, ")"), ""),"")</f>
        <v/>
      </c>
      <c r="I10" s="21" t="str">
        <f t="shared" ref="I10:I12" si="1">IF($F10, CONCATENATE("- [", D$9, " Handouts for the ",$A10, "](", D10, ")"), "")</f>
        <v>- [Grade 9 Handouts for the 1st Term](https://drive.google.com/file/d/1x4fsJFRIZ1vsqPk6OXbzsGErE1XdDNJQ/view?usp=drivesdk)</v>
      </c>
      <c r="J10" s="21" t="str">
        <f t="shared" ref="J10:J12" si="2">IF(H$9,IF($F10, CONCATENATE("- [", E$9, " Handouts for the ",$A10, "](", E10, ")"), ""),"")</f>
        <v/>
      </c>
    </row>
    <row r="11" spans="1:10" ht="12.75" x14ac:dyDescent="0.15">
      <c r="A11" s="1" t="s">
        <v>103</v>
      </c>
      <c r="B11" s="25" t="s">
        <v>268</v>
      </c>
      <c r="C11" s="25" t="s">
        <v>268</v>
      </c>
      <c r="D11" s="25" t="s">
        <v>269</v>
      </c>
      <c r="E11" s="25" t="s">
        <v>268</v>
      </c>
      <c r="F11" s="10" t="b">
        <v>1</v>
      </c>
      <c r="G11" s="21" t="str">
        <f t="shared" ref="G10:G13" si="3">IF($F11, CONCATENATE("- [", B$9, " Handouts for the ",$A11, "](", B11, ")"), "")</f>
        <v>- [Grade 7 Handouts for the 2nd Term](https://drive.google.com/file/d/1-KDJsZditKS4m47wiWkkrUHdmr6OGHRS/view?usp=drivesdk)</v>
      </c>
      <c r="H11" s="21" t="str">
        <f t="shared" si="0"/>
        <v/>
      </c>
      <c r="I11" s="21" t="str">
        <f t="shared" si="1"/>
        <v>- [Grade 9 Handouts for the 2nd Term](https://drive.google.com/file/d/1EE_6jJP56HUvwmqvAvF3kXdhOI1EKpPi/view?usp=drivesdk)</v>
      </c>
      <c r="J11" s="21" t="str">
        <f t="shared" si="2"/>
        <v/>
      </c>
    </row>
    <row r="12" spans="1:10" ht="12.75" x14ac:dyDescent="0.15">
      <c r="A12" s="1" t="s">
        <v>104</v>
      </c>
      <c r="B12" s="3" t="s">
        <v>101</v>
      </c>
      <c r="C12" s="3" t="s">
        <v>101</v>
      </c>
      <c r="D12" s="3" t="s">
        <v>101</v>
      </c>
      <c r="E12" s="3" t="s">
        <v>101</v>
      </c>
      <c r="F12" s="1" t="b">
        <v>0</v>
      </c>
      <c r="G12" s="21" t="str">
        <f t="shared" si="3"/>
        <v/>
      </c>
      <c r="H12" s="21" t="str">
        <f t="shared" si="0"/>
        <v/>
      </c>
      <c r="I12" s="21" t="str">
        <f t="shared" si="1"/>
        <v/>
      </c>
      <c r="J12" s="21" t="str">
        <f t="shared" si="2"/>
        <v/>
      </c>
    </row>
    <row r="13" spans="1:10" ht="12.75" x14ac:dyDescent="0.15">
      <c r="A13" s="1" t="s">
        <v>105</v>
      </c>
      <c r="B13" s="25" t="s">
        <v>268</v>
      </c>
      <c r="C13" s="25" t="s">
        <v>268</v>
      </c>
      <c r="D13" s="25" t="s">
        <v>268</v>
      </c>
      <c r="E13" s="25" t="s">
        <v>268</v>
      </c>
      <c r="F13" s="1" t="b">
        <v>0</v>
      </c>
      <c r="G13" s="21" t="str">
        <f t="shared" si="3"/>
        <v/>
      </c>
      <c r="H13" s="21" t="str">
        <f t="shared" ref="H13:J13" si="4">IF($F13, CONCATENATE("- [", C$9, " Handouts for the ",$A13, "](", C13, ")"), "")</f>
        <v/>
      </c>
      <c r="I13" s="21" t="str">
        <f t="shared" si="4"/>
        <v/>
      </c>
      <c r="J13" s="21" t="str">
        <f t="shared" si="4"/>
        <v/>
      </c>
    </row>
    <row r="14" spans="1:10" ht="15.75" customHeight="1" x14ac:dyDescent="0.15">
      <c r="B14" s="25"/>
      <c r="D14" s="3"/>
    </row>
    <row r="15" spans="1:10" ht="15.75" customHeight="1" x14ac:dyDescent="0.15">
      <c r="D15" s="25"/>
    </row>
    <row r="16" spans="1:10" ht="12.75" x14ac:dyDescent="0.15">
      <c r="A16" s="1" t="s">
        <v>82</v>
      </c>
      <c r="B16" s="1" t="s">
        <v>83</v>
      </c>
      <c r="C16" s="1" t="s">
        <v>84</v>
      </c>
      <c r="D16" s="1" t="s">
        <v>85</v>
      </c>
      <c r="E16" s="1" t="s">
        <v>86</v>
      </c>
      <c r="F16" s="1" t="s">
        <v>87</v>
      </c>
    </row>
    <row r="17" spans="1:6" ht="33" customHeight="1" x14ac:dyDescent="0.15">
      <c r="A17" s="1" t="s">
        <v>88</v>
      </c>
      <c r="B17" s="1" t="s">
        <v>89</v>
      </c>
      <c r="C17" s="1" t="s">
        <v>90</v>
      </c>
      <c r="D17" s="10" t="str">
        <f>CONCATENATE(_xlfn._LONGTEXT("- Makakatipid ka sa oras kaya makakapaghabol pa ng lessons.  
- Maganda at consistent ang formatting ng test questions at figures.  
- Ready na ang answer key kaya mas madali at mabilis ang pagche-check.  
- Ready-to-print exam: sakto sa Budget of Work an","g covered topics  
- Number of days: "))</f>
        <v xml:space="preserve">- Makakatipid ka sa oras kaya makakapaghabol pa ng lessons.  
- Maganda at consistent ang formatting ng test questions at figures.  
- Ready na ang answer key kaya mas madali at mabilis ang pagche-check.  
- Ready-to-print exam: sakto sa Budget of Work ang covered topics  
- Number of days: </v>
      </c>
      <c r="E17" s="24" t="str">
        <f>CONCATENATE(_xlfn._LONGTEXT("- Makakatipid ka sa oras kaya makakapaghabol pa ng lessons.  
- Maganda at consistent ang formatting ng test questions at figures.  
- Ready na ang answer key kaya mas madali at mabilis ang pagche-check.  
- Ready-to-print exam: sakto sa Budget of Work an","g covered topics  
- Maaga kang makakapag-submit ng TOS sa head mo.  
- Table of Specifications using the 21st Century format
- Number of days: "))</f>
        <v xml:space="preserve">- Makakatipid ka sa oras kaya makakapaghabol pa ng lessons.  
- Maganda at consistent ang formatting ng test questions at figures.  
- Ready na ang answer key kaya mas madali at mabilis ang pagche-check.  
- Ready-to-print exam: sakto sa Budget of Work ang covered topics  
- Maaga kang makakapag-submit ng TOS sa head mo.  
- Table of Specifications using the 21st Century format
- Number of days: </v>
      </c>
      <c r="F17" s="10" t="str">
        <f>CONCATENATE(_xlfn._LONGTEXT("- Makakatipid ka sa oras kaya makakapaghabol pa ng lessons.  
- Maganda at consistent ang formatting ng test questions at figures.  
- Ready na ang answer key kaya mas madali at mabilis ang pagche-check. 
- Fully customizable exam: kahit anong topic ang p","wedeng covered
- Maaga kang makakapag-submit ng TOS sa head mo.  
- Table of Specifications using the 21st Century format
- Number of days: pwede kahit ilan
- Number of items: kahit ilan basta maximum of 50"))</f>
        <v>- Makakatipid ka sa oras kaya makakapaghabol pa ng lessons.  
- Maganda at consistent ang formatting ng test questions at figures.  
- Ready na ang answer key kaya mas madali at mabilis ang pagche-check. 
- Fully customizable exam: kahit anong topic ang pwedeng covered
- Maaga kang makakapag-submit ng TOS sa head mo.  
- Table of Specifications using the 21st Century format
- Number of days: pwede kahit ilan
- Number of items: kahit ilan basta maximum of 50</v>
      </c>
    </row>
    <row r="18" spans="1:6" ht="15.75" customHeight="1" x14ac:dyDescent="0.15">
      <c r="D18" s="10"/>
      <c r="F18" s="10"/>
    </row>
    <row r="19" spans="1:6" ht="15.75" customHeight="1" x14ac:dyDescent="0.15">
      <c r="D19" s="27"/>
    </row>
    <row r="22" spans="1:6" ht="15.75" customHeight="1" x14ac:dyDescent="0.15">
      <c r="A22" t="s">
        <v>115</v>
      </c>
      <c r="B22" t="s">
        <v>116</v>
      </c>
    </row>
    <row r="23" spans="1:6" ht="15.75" customHeight="1" x14ac:dyDescent="0.15">
      <c r="A23" t="s">
        <v>114</v>
      </c>
      <c r="B23" t="s">
        <v>119</v>
      </c>
    </row>
    <row r="24" spans="1:6" ht="15.75" customHeight="1" x14ac:dyDescent="0.15">
      <c r="A24" t="s">
        <v>117</v>
      </c>
      <c r="B24" t="s">
        <v>121</v>
      </c>
    </row>
    <row r="25" spans="1:6" ht="15.75" customHeight="1" x14ac:dyDescent="0.15">
      <c r="A25" t="s">
        <v>118</v>
      </c>
      <c r="B25" t="s">
        <v>120</v>
      </c>
    </row>
    <row r="26" spans="1:6" ht="15.75" customHeight="1" x14ac:dyDescent="0.15">
      <c r="A26" t="s">
        <v>144</v>
      </c>
      <c r="B26" t="s">
        <v>145</v>
      </c>
    </row>
    <row r="27" spans="1:6" ht="15.75" customHeight="1" x14ac:dyDescent="0.15">
      <c r="A27" t="s">
        <v>266</v>
      </c>
      <c r="B27" t="s">
        <v>267</v>
      </c>
    </row>
    <row r="28" spans="1:6" ht="15.75" customHeight="1" x14ac:dyDescent="0.15">
      <c r="A28" t="s">
        <v>275</v>
      </c>
      <c r="B28" t="s">
        <v>277</v>
      </c>
    </row>
    <row r="29" spans="1:6" ht="15.75" customHeight="1" x14ac:dyDescent="0.15">
      <c r="A29" t="s">
        <v>283</v>
      </c>
      <c r="B29" t="s">
        <v>282</v>
      </c>
    </row>
    <row r="31" spans="1:6" ht="15.75" customHeight="1" x14ac:dyDescent="0.15">
      <c r="A31" t="s">
        <v>115</v>
      </c>
      <c r="B31" t="s">
        <v>146</v>
      </c>
    </row>
    <row r="32" spans="1:6" ht="15.75" customHeight="1" x14ac:dyDescent="0.15">
      <c r="A32" t="s">
        <v>147</v>
      </c>
      <c r="B32" t="s">
        <v>150</v>
      </c>
    </row>
    <row r="33" spans="1:2" ht="15.75" customHeight="1" x14ac:dyDescent="0.15">
      <c r="A33" t="s">
        <v>148</v>
      </c>
      <c r="B33" t="s">
        <v>151</v>
      </c>
    </row>
    <row r="34" spans="1:2" ht="15.75" customHeight="1" x14ac:dyDescent="0.15">
      <c r="A34" t="s">
        <v>149</v>
      </c>
      <c r="B34" t="s">
        <v>152</v>
      </c>
    </row>
    <row r="37" spans="1:2" ht="15.75" customHeight="1" x14ac:dyDescent="0.15">
      <c r="A37" t="s">
        <v>115</v>
      </c>
      <c r="B37" t="s">
        <v>153</v>
      </c>
    </row>
    <row r="38" spans="1:2" ht="15.75" customHeight="1" x14ac:dyDescent="0.15">
      <c r="A38" t="s">
        <v>154</v>
      </c>
      <c r="B38" t="s">
        <v>95</v>
      </c>
    </row>
    <row r="39" spans="1:2" ht="15.75" customHeight="1" x14ac:dyDescent="0.15">
      <c r="A39" t="s">
        <v>155</v>
      </c>
      <c r="B39" t="s">
        <v>96</v>
      </c>
    </row>
    <row r="40" spans="1:2" ht="15.75" customHeight="1" x14ac:dyDescent="0.15">
      <c r="A40" t="s">
        <v>156</v>
      </c>
      <c r="B40" t="s">
        <v>97</v>
      </c>
    </row>
    <row r="41" spans="1:2" ht="15.75" customHeight="1" x14ac:dyDescent="0.15">
      <c r="A41" t="s">
        <v>157</v>
      </c>
      <c r="B41" t="s">
        <v>98</v>
      </c>
    </row>
    <row r="44" spans="1:2" ht="15.75" customHeight="1" x14ac:dyDescent="0.15">
      <c r="A44" t="s">
        <v>115</v>
      </c>
      <c r="B44" t="s">
        <v>158</v>
      </c>
    </row>
    <row r="45" spans="1:2" ht="15.75" customHeight="1" x14ac:dyDescent="0.15">
      <c r="A45" t="s">
        <v>159</v>
      </c>
      <c r="B45" t="s">
        <v>161</v>
      </c>
    </row>
    <row r="46" spans="1:2" ht="15.75" customHeight="1" x14ac:dyDescent="0.15">
      <c r="A46" t="s">
        <v>160</v>
      </c>
      <c r="B46" t="s">
        <v>162</v>
      </c>
    </row>
    <row r="47" spans="1:2" ht="15.75" customHeight="1" x14ac:dyDescent="0.15">
      <c r="A47" t="s">
        <v>205</v>
      </c>
      <c r="B47" t="s">
        <v>206</v>
      </c>
    </row>
  </sheetData>
  <hyperlinks>
    <hyperlink ref="D10" r:id="rId1" xr:uid="{00000000-0004-0000-0100-000002000000}"/>
    <hyperlink ref="B11" r:id="rId2" xr:uid="{C804E277-583F-F943-95B4-DB5B3161D872}"/>
    <hyperlink ref="B12" r:id="rId3" xr:uid="{5D0B236A-88E6-944F-A26F-D50971773B8D}"/>
    <hyperlink ref="B13" r:id="rId4" xr:uid="{46FE7557-63A0-0647-8893-7CE7B8639129}"/>
    <hyperlink ref="C10" r:id="rId5" xr:uid="{7E3D98C5-17FF-6840-B2AB-211092EC67D2}"/>
    <hyperlink ref="C11" r:id="rId6" xr:uid="{A262DCDB-7206-EC45-B8D8-462D9F7357A1}"/>
    <hyperlink ref="C12" r:id="rId7" xr:uid="{974BE1EA-1A51-954D-85DA-452908A7122D}"/>
    <hyperlink ref="C13" r:id="rId8" xr:uid="{EAB218F5-C312-5E4E-BB31-951D90EF5C53}"/>
    <hyperlink ref="E10" r:id="rId9" xr:uid="{F40EB58C-384C-7647-97A2-E26ECD3241F0}"/>
    <hyperlink ref="E11" r:id="rId10" xr:uid="{30374163-9E39-7E45-AB5B-4AD0E5A1AE05}"/>
    <hyperlink ref="E12" r:id="rId11" xr:uid="{F44F11A3-E385-0640-848B-7D2A569E2BE3}"/>
    <hyperlink ref="E13" r:id="rId12" xr:uid="{491CC8D4-9CB8-754F-994E-6A41DA0F7029}"/>
    <hyperlink ref="D12" r:id="rId13" xr:uid="{DB717CEB-FBE8-F649-9F5B-3E987AC458E2}"/>
    <hyperlink ref="D13" r:id="rId14" xr:uid="{B47D4EAD-F1A6-0F41-B660-6C42394262A6}"/>
    <hyperlink ref="D11" r:id="rId15" xr:uid="{16374473-46B4-1147-98C1-F5F46F0C1AA7}"/>
    <hyperlink ref="B10" r:id="rId16" xr:uid="{F6A35056-176D-6B4F-8C65-1881B9FE567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bacs</dc:creator>
  <dcterms:created xsi:type="dcterms:W3CDTF">2026-07-04T16:15:14Z</dcterms:created>
</cp:coreProperties>
</file>